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URSORAI\SwitchboardSuite\"/>
    </mc:Choice>
  </mc:AlternateContent>
  <xr:revisionPtr revIDLastSave="0" documentId="13_ncr:1_{072988A3-A88E-4BDE-875A-CBC8988289C6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MDB-1" sheetId="5" r:id="rId1"/>
    <sheet name="MDP-EX" sheetId="4" r:id="rId2"/>
    <sheet name="DP-X" sheetId="3" r:id="rId3"/>
    <sheet name="LPEX2" sheetId="2" r:id="rId4"/>
    <sheet name="DP-F" sheetId="1" r:id="rId5"/>
  </sheets>
  <definedNames>
    <definedName name="Panel">'DP-F'!$B$4</definedName>
    <definedName name="PanelVoltage" localSheetId="4">'DP-F'!$B$4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7" i="1"/>
  <c r="G17" i="1"/>
  <c r="E16" i="1"/>
  <c r="G16" i="1"/>
  <c r="I16" i="1"/>
  <c r="I17" i="1" s="1"/>
  <c r="E18" i="2"/>
  <c r="E17" i="2"/>
  <c r="G17" i="2"/>
  <c r="I17" i="2"/>
  <c r="E16" i="2"/>
  <c r="G16" i="2"/>
  <c r="I16" i="2"/>
  <c r="E12" i="3"/>
  <c r="E11" i="3"/>
  <c r="G11" i="3"/>
  <c r="I11" i="3"/>
  <c r="E10" i="3"/>
  <c r="G10" i="3"/>
  <c r="I10" i="3"/>
  <c r="G11" i="4"/>
  <c r="I11" i="4"/>
  <c r="E10" i="4"/>
  <c r="E12" i="4" s="1"/>
  <c r="G10" i="4"/>
  <c r="I10" i="4"/>
  <c r="G11" i="5"/>
  <c r="I11" i="5"/>
  <c r="E10" i="5"/>
  <c r="E11" i="5" s="1"/>
  <c r="G10" i="5"/>
  <c r="I10" i="5"/>
  <c r="E11" i="4" l="1"/>
  <c r="E12" i="5"/>
</calcChain>
</file>

<file path=xl/sharedStrings.xml><?xml version="1.0" encoding="utf-8"?>
<sst xmlns="http://schemas.openxmlformats.org/spreadsheetml/2006/main" count="384" uniqueCount="114">
  <si>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</si>
  <si>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</si>
  <si>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</si>
  <si>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</si>
  <si>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</si>
  <si>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</si>
  <si>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</si>
  <si>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</si>
  <si>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</si>
  <si>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</si>
  <si>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</si>
  <si>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</si>
  <si>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</si>
  <si>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</si>
  <si>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</si>
  <si>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</si>
  <si>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</si>
  <si>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</si>
  <si>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</si>
  <si>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</si>
  <si>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</si>
  <si>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</si>
  <si>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</si>
  <si>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</si>
  <si>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</si>
  <si>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</si>
  <si>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</si>
  <si>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</si>
  <si>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</si>
  <si>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MCCB</t>
  </si>
  <si>
    <t>IP54</t>
  </si>
  <si>
    <t>2500A-3p</t>
  </si>
  <si>
    <t>2×4×630/400 XLPE</t>
  </si>
  <si>
    <t>1500 kVA / 13 kV Transformer</t>
  </si>
  <si>
    <t>MDP/EX</t>
  </si>
  <si>
    <t>4×150/95 PVC</t>
  </si>
  <si>
    <t>125A-3p</t>
  </si>
  <si>
    <t>2000A-3p</t>
  </si>
  <si>
    <t>3×4×1000/500 PVC</t>
  </si>
  <si>
    <t>Fixed AS-BUILT Load</t>
  </si>
  <si>
    <t>SPARE</t>
  </si>
  <si>
    <t>20A-1p</t>
  </si>
  <si>
    <t>SPACE</t>
  </si>
  <si>
    <t>Load</t>
  </si>
  <si>
    <t>kVA (S × DF)</t>
  </si>
  <si>
    <t>DF %</t>
  </si>
  <si>
    <t>D.Load</t>
  </si>
  <si>
    <t>Lighting</t>
  </si>
  <si>
    <t>Motor</t>
  </si>
  <si>
    <t>Sub-panel</t>
  </si>
  <si>
    <t>Cumulative Demand Load</t>
  </si>
  <si>
    <t>4×150/95 XLPE</t>
  </si>
  <si>
    <t>FIXED AS-Build Load</t>
  </si>
  <si>
    <t>4×16/16 PVC</t>
  </si>
  <si>
    <t>63A-3p</t>
  </si>
  <si>
    <t>DP-X</t>
  </si>
  <si>
    <t>Other</t>
  </si>
  <si>
    <t>MCB</t>
  </si>
  <si>
    <t>LPEX2</t>
  </si>
  <si>
    <t>4×70/35 PVC</t>
  </si>
  <si>
    <t>13A-3p</t>
  </si>
  <si>
    <t>50A-3p</t>
  </si>
  <si>
    <t>DP-F</t>
  </si>
  <si>
    <t>4×70/35 XLPE</t>
  </si>
  <si>
    <t>Feeder-7</t>
  </si>
  <si>
    <t>4×6/6 XLPE</t>
  </si>
  <si>
    <t>40A-3p</t>
  </si>
  <si>
    <t>20A-3p</t>
  </si>
  <si>
    <t>4×1.5/1.5 XLPE</t>
  </si>
  <si>
    <t>Feeder-8</t>
  </si>
  <si>
    <t>Feeder-6</t>
  </si>
  <si>
    <t>4×4/4 XLPE</t>
  </si>
  <si>
    <t>Feeder-9</t>
  </si>
  <si>
    <t>13</t>
  </si>
  <si>
    <t>14</t>
  </si>
  <si>
    <t>Feeder-10</t>
  </si>
  <si>
    <t>15</t>
  </si>
  <si>
    <t>16</t>
  </si>
  <si>
    <t>4×1.5/1.5 PVC</t>
  </si>
  <si>
    <t>Fixed AS-Built Load</t>
  </si>
  <si>
    <t>17</t>
  </si>
  <si>
    <t>18</t>
  </si>
  <si>
    <t>Feeder-5</t>
  </si>
  <si>
    <t>2×25/16 XLPE</t>
  </si>
  <si>
    <t>100A-1p</t>
  </si>
  <si>
    <t>19</t>
  </si>
  <si>
    <t>20</t>
  </si>
  <si>
    <t>50A-1p</t>
  </si>
  <si>
    <t>2×10/10 XLPE</t>
  </si>
  <si>
    <t>Feeder-4</t>
  </si>
  <si>
    <t>21</t>
  </si>
  <si>
    <t>22</t>
  </si>
  <si>
    <t>23</t>
  </si>
  <si>
    <t>24</t>
  </si>
  <si>
    <t>Sump Pump 1 w/ Soft Start</t>
  </si>
  <si>
    <t>4C1.5 + 1.5 PVC</t>
  </si>
  <si>
    <t>6A-3p</t>
  </si>
  <si>
    <t>Sump Pump 2 w/ Soft Start</t>
  </si>
  <si>
    <t>Sump Pump 3 (Backup) w/ Soft Start</t>
  </si>
  <si>
    <t>Feeder-14</t>
  </si>
  <si>
    <t>Waterwall LED Lighting #1</t>
  </si>
  <si>
    <t>2×35/25 PVC</t>
  </si>
  <si>
    <t>16A-1p</t>
  </si>
  <si>
    <t>2×16/16 PVC</t>
  </si>
  <si>
    <t>Waterwall LED Lighting #2</t>
  </si>
  <si>
    <t>LED Bollards</t>
  </si>
  <si>
    <t>2×10/10 PVC</t>
  </si>
  <si>
    <t>6A-1p</t>
  </si>
  <si>
    <t>Control System</t>
  </si>
  <si>
    <t>Auxiliary / Socket @ DB-F</t>
  </si>
  <si>
    <t>2×2.5/2.5 PVC</t>
  </si>
  <si>
    <t>2×1.5/1.5 PVC</t>
  </si>
  <si>
    <t>Filter Room Lighting</t>
  </si>
  <si>
    <t>Filter Room Exhaust Fan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</si>
</sst>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49" fontId="3" fillId="0" borderId="34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35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36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6" xfId="0" applyFont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2" fontId="3" fillId="0" borderId="4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Border="1"/>
    <xf numFmtId="0" fontId="7" fillId="0" borderId="15" xfId="0" applyFont="1" applyBorder="1"/>
    <xf numFmtId="0" fontId="0" fillId="0" borderId="5" xfId="0" applyBorder="1"/>
    <xf numFmtId="0" fontId="6" fillId="0" borderId="17" xfId="0" applyFont="1" applyBorder="1"/>
    <xf numFmtId="0" fontId="6" fillId="0" borderId="28" xfId="0" applyFont="1" applyBorder="1"/>
    <xf numFmtId="0" fontId="0" fillId="0" borderId="28" xfId="0" applyBorder="1"/>
    <xf numFmtId="0" fontId="6" fillId="0" borderId="29" xfId="0" applyFont="1" applyBorder="1"/>
    <xf numFmtId="0" fontId="8" fillId="0" borderId="18" xfId="0" applyFont="1" applyBorder="1"/>
    <xf numFmtId="0" fontId="0" fillId="0" borderId="31" xfId="0" applyBorder="1"/>
    <xf numFmtId="0" fontId="8" fillId="0" borderId="32" xfId="0" applyFont="1" applyBorder="1"/>
    <xf numFmtId="0" fontId="4" fillId="0" borderId="37" xfId="0" applyFont="1" applyBorder="1" applyAlignment="1" applyProtection="1">
      <alignment horizontal="center" vertical="center"/>
      <protection locked="0"/>
    </xf>
    <xf numFmtId="49" fontId="3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AD9A-1F3B-4A5E-989A-9B9D1480B64E}">
  <dimension ref="A1:N22"/>
  <sheetViews>
    <sheetView tabSelected="1"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27</v>
      </c>
      <c r="B2" s="12" t="s">
        <v>30</v>
      </c>
      <c r="C2" s="12" t="s">
        <v>29</v>
      </c>
      <c r="D2" s="16" t="s">
        <v>31</v>
      </c>
      <c r="E2" s="17"/>
      <c r="F2" s="16" t="s">
        <v>32</v>
      </c>
      <c r="G2" s="18"/>
      <c r="H2" s="18"/>
      <c r="I2" s="18"/>
      <c r="J2" s="18"/>
      <c r="K2" s="18"/>
      <c r="L2" s="18"/>
      <c r="M2" s="17"/>
      <c r="N2" s="12" t="s">
        <v>33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55.92</v>
      </c>
      <c r="F4" s="57">
        <v>385.67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34</v>
      </c>
      <c r="B5" s="21" t="s">
        <v>35</v>
      </c>
      <c r="C5" s="22" t="s">
        <v>36</v>
      </c>
      <c r="D5" s="34" t="s">
        <v>2</v>
      </c>
      <c r="E5" s="49"/>
      <c r="F5" s="23"/>
      <c r="G5" s="58">
        <v>55.92</v>
      </c>
      <c r="H5" s="59">
        <v>385.67</v>
      </c>
      <c r="I5" s="24"/>
      <c r="J5" s="24"/>
      <c r="K5" s="38" t="s">
        <v>3</v>
      </c>
      <c r="L5" s="21" t="s">
        <v>37</v>
      </c>
      <c r="M5" s="21" t="s">
        <v>38</v>
      </c>
      <c r="N5" s="41" t="s">
        <v>39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55.92</v>
      </c>
      <c r="J6" s="61">
        <v>385.67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 t="s">
        <v>41</v>
      </c>
      <c r="M7" s="43"/>
      <c r="N7" s="48" t="s">
        <v>40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441.59000000000003</v>
      </c>
      <c r="F10" s="69"/>
      <c r="G10" s="69">
        <f>SUM(G4:H9)</f>
        <v>441.59000000000003</v>
      </c>
      <c r="H10" s="69"/>
      <c r="I10" s="70">
        <f>SUM(I4:J9)</f>
        <v>441.59000000000003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1912.4729320051972</v>
      </c>
      <c r="F11" s="77"/>
      <c r="G11" s="77">
        <f>IFERROR(G10*1000/230.9,"")</f>
        <v>1912.4729320051972</v>
      </c>
      <c r="H11" s="77"/>
      <c r="I11" s="78">
        <f>IFERROR(I10*1000/230.9,"")</f>
        <v>1912.4729320051972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1324.77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47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40</v>
      </c>
      <c r="B17" s="83">
        <v>0</v>
      </c>
      <c r="C17" s="83">
        <v>100</v>
      </c>
      <c r="D17" s="91">
        <v>0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48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39</v>
      </c>
      <c r="B19" s="83">
        <v>1157</v>
      </c>
      <c r="C19" s="83">
        <v>100</v>
      </c>
      <c r="D19" s="91">
        <v>1157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x14ac:dyDescent="0.45">
      <c r="A20" s="87" t="s">
        <v>49</v>
      </c>
      <c r="B20" s="83"/>
      <c r="C20" s="83"/>
      <c r="D20" s="91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x14ac:dyDescent="0.45">
      <c r="A21" s="88" t="s">
        <v>34</v>
      </c>
      <c r="B21" s="83">
        <v>167.75</v>
      </c>
      <c r="C21" s="83">
        <v>100</v>
      </c>
      <c r="D21" s="91">
        <v>167.75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ht="14.65" thickBot="1" x14ac:dyDescent="0.5">
      <c r="A22" s="89" t="s">
        <v>50</v>
      </c>
      <c r="B22" s="85"/>
      <c r="C22" s="85"/>
      <c r="D22" s="92">
        <v>1324.75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D688-87F6-440D-9D59-9027D53F5E16}">
  <dimension ref="A1:N20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34</v>
      </c>
      <c r="B2" s="12" t="s">
        <v>30</v>
      </c>
      <c r="C2" s="12" t="s">
        <v>29</v>
      </c>
      <c r="D2" s="16" t="s">
        <v>36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27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12.43</v>
      </c>
      <c r="F4" s="57">
        <v>43.48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52</v>
      </c>
      <c r="B5" s="21" t="s">
        <v>53</v>
      </c>
      <c r="C5" s="22" t="s">
        <v>54</v>
      </c>
      <c r="D5" s="34" t="s">
        <v>2</v>
      </c>
      <c r="E5" s="49"/>
      <c r="F5" s="23"/>
      <c r="G5" s="58">
        <v>12.43</v>
      </c>
      <c r="H5" s="59">
        <v>43.48</v>
      </c>
      <c r="I5" s="24"/>
      <c r="J5" s="24"/>
      <c r="K5" s="38" t="s">
        <v>3</v>
      </c>
      <c r="L5" s="21" t="s">
        <v>54</v>
      </c>
      <c r="M5" s="21" t="s">
        <v>35</v>
      </c>
      <c r="N5" s="41" t="s">
        <v>55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12.43</v>
      </c>
      <c r="J6" s="61">
        <v>43.48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55.91</v>
      </c>
      <c r="F10" s="69"/>
      <c r="G10" s="69">
        <f>SUM(G4:H9)</f>
        <v>55.91</v>
      </c>
      <c r="H10" s="69"/>
      <c r="I10" s="70">
        <f>SUM(I4:J9)</f>
        <v>55.91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242.13945430922476</v>
      </c>
      <c r="F11" s="77"/>
      <c r="G11" s="77">
        <f>IFERROR(G10*1000/230.9,"")</f>
        <v>242.13945430922476</v>
      </c>
      <c r="H11" s="77"/>
      <c r="I11" s="78">
        <f>IFERROR(I10*1000/230.9,"")</f>
        <v>242.13945430922476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167.73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56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52</v>
      </c>
      <c r="B17" s="83">
        <v>37.299999999999997</v>
      </c>
      <c r="C17" s="83">
        <v>100</v>
      </c>
      <c r="D17" s="91">
        <v>37.299999999999997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49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55</v>
      </c>
      <c r="B19" s="83">
        <v>130.44999999999999</v>
      </c>
      <c r="C19" s="83">
        <v>100</v>
      </c>
      <c r="D19" s="91">
        <v>130.44999999999999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ht="14.65" thickBot="1" x14ac:dyDescent="0.5">
      <c r="A20" s="89" t="s">
        <v>50</v>
      </c>
      <c r="B20" s="85"/>
      <c r="C20" s="85"/>
      <c r="D20" s="92">
        <v>167.75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F5C7-B81D-4ECA-8803-5E8C6AD1177A}">
  <dimension ref="A1:N19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55</v>
      </c>
      <c r="B2" s="12" t="s">
        <v>30</v>
      </c>
      <c r="C2" s="12" t="s">
        <v>57</v>
      </c>
      <c r="D2" s="16" t="s">
        <v>54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34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38.590000000000003</v>
      </c>
      <c r="F4" s="57">
        <v>4.9000000000000004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58</v>
      </c>
      <c r="B5" s="21" t="s">
        <v>59</v>
      </c>
      <c r="C5" s="22" t="s">
        <v>60</v>
      </c>
      <c r="D5" s="34" t="s">
        <v>2</v>
      </c>
      <c r="E5" s="49"/>
      <c r="F5" s="23"/>
      <c r="G5" s="58">
        <v>38.590000000000003</v>
      </c>
      <c r="H5" s="59">
        <v>4.9000000000000004</v>
      </c>
      <c r="I5" s="24"/>
      <c r="J5" s="24"/>
      <c r="K5" s="38" t="s">
        <v>3</v>
      </c>
      <c r="L5" s="21" t="s">
        <v>61</v>
      </c>
      <c r="M5" s="21" t="s">
        <v>59</v>
      </c>
      <c r="N5" s="41" t="s">
        <v>62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38.590000000000003</v>
      </c>
      <c r="J6" s="61">
        <v>4.9000000000000004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43.49</v>
      </c>
      <c r="F10" s="69"/>
      <c r="G10" s="69">
        <f>SUM(G4:H9)</f>
        <v>43.49</v>
      </c>
      <c r="H10" s="69"/>
      <c r="I10" s="70">
        <f>SUM(I4:J9)</f>
        <v>43.49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188.34993503681247</v>
      </c>
      <c r="F11" s="77"/>
      <c r="G11" s="77">
        <f>IFERROR(G10*1000/230.9,"")</f>
        <v>188.34993503681247</v>
      </c>
      <c r="H11" s="77"/>
      <c r="I11" s="78">
        <f>IFERROR(I10*1000/230.9,"")</f>
        <v>188.34993503681247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130.47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49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62</v>
      </c>
      <c r="B17" s="83">
        <v>14.69</v>
      </c>
      <c r="C17" s="83">
        <v>100</v>
      </c>
      <c r="D17" s="91">
        <v>14.69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8" t="s">
        <v>58</v>
      </c>
      <c r="B18" s="83">
        <v>115.76</v>
      </c>
      <c r="C18" s="83">
        <v>100</v>
      </c>
      <c r="D18" s="91">
        <v>115.76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ht="14.65" thickBot="1" x14ac:dyDescent="0.5">
      <c r="A19" s="89" t="s">
        <v>50</v>
      </c>
      <c r="B19" s="85"/>
      <c r="C19" s="85"/>
      <c r="D19" s="92">
        <v>130.44999999999999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EB1-B5E1-4268-91B7-70DC1AD6A5A6}">
  <dimension ref="A1:N32"/>
  <sheetViews>
    <sheetView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58</v>
      </c>
      <c r="B2" s="12" t="s">
        <v>30</v>
      </c>
      <c r="C2" s="12" t="s">
        <v>57</v>
      </c>
      <c r="D2" s="16" t="s">
        <v>60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8.15</v>
      </c>
      <c r="F4" s="57">
        <v>4.4400000000000004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64</v>
      </c>
      <c r="B5" s="21" t="s">
        <v>65</v>
      </c>
      <c r="C5" s="22" t="s">
        <v>66</v>
      </c>
      <c r="D5" s="34" t="s">
        <v>2</v>
      </c>
      <c r="E5" s="49"/>
      <c r="F5" s="23"/>
      <c r="G5" s="58">
        <v>8.15</v>
      </c>
      <c r="H5" s="59">
        <v>4.4400000000000004</v>
      </c>
      <c r="I5" s="24"/>
      <c r="J5" s="24"/>
      <c r="K5" s="38" t="s">
        <v>3</v>
      </c>
      <c r="L5" s="21" t="s">
        <v>67</v>
      </c>
      <c r="M5" s="21" t="s">
        <v>68</v>
      </c>
      <c r="N5" s="41" t="s">
        <v>69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8.15</v>
      </c>
      <c r="J6" s="61">
        <v>4.4400000000000004</v>
      </c>
      <c r="K6" s="39" t="s">
        <v>5</v>
      </c>
      <c r="L6" s="28"/>
      <c r="M6" s="28"/>
      <c r="N6" s="42"/>
    </row>
    <row r="7" spans="1:14" ht="15.75" x14ac:dyDescent="0.45">
      <c r="A7" s="30"/>
      <c r="B7" s="26"/>
      <c r="C7" s="27"/>
      <c r="D7" s="33" t="s">
        <v>6</v>
      </c>
      <c r="E7" s="62">
        <v>4.07</v>
      </c>
      <c r="F7" s="63">
        <v>4.07</v>
      </c>
      <c r="G7" s="24"/>
      <c r="H7" s="24"/>
      <c r="I7" s="24"/>
      <c r="J7" s="24"/>
      <c r="K7" s="94" t="s">
        <v>7</v>
      </c>
      <c r="L7" s="26"/>
      <c r="M7" s="26"/>
      <c r="N7" s="95"/>
    </row>
    <row r="8" spans="1:14" ht="15.75" x14ac:dyDescent="0.45">
      <c r="A8" s="31" t="s">
        <v>70</v>
      </c>
      <c r="B8" s="21" t="s">
        <v>71</v>
      </c>
      <c r="C8" s="22" t="s">
        <v>67</v>
      </c>
      <c r="D8" s="34" t="s">
        <v>8</v>
      </c>
      <c r="E8" s="50"/>
      <c r="F8" s="24"/>
      <c r="G8" s="60">
        <v>4.07</v>
      </c>
      <c r="H8" s="63">
        <v>4.07</v>
      </c>
      <c r="I8" s="25"/>
      <c r="J8" s="25"/>
      <c r="K8" s="38" t="s">
        <v>9</v>
      </c>
      <c r="L8" s="21" t="s">
        <v>67</v>
      </c>
      <c r="M8" s="21" t="s">
        <v>68</v>
      </c>
      <c r="N8" s="41" t="s">
        <v>72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>
        <v>4.07</v>
      </c>
      <c r="J9" s="93">
        <v>4.07</v>
      </c>
      <c r="K9" s="39" t="s">
        <v>11</v>
      </c>
      <c r="L9" s="28"/>
      <c r="M9" s="28"/>
      <c r="N9" s="42"/>
    </row>
    <row r="10" spans="1:14" ht="15.85" customHeight="1" x14ac:dyDescent="0.45">
      <c r="A10" s="30"/>
      <c r="B10" s="26"/>
      <c r="C10" s="27"/>
      <c r="D10" s="33" t="s">
        <v>73</v>
      </c>
      <c r="E10" s="62">
        <v>4.07</v>
      </c>
      <c r="F10" s="63">
        <v>2.67</v>
      </c>
      <c r="G10" s="24"/>
      <c r="H10" s="24"/>
      <c r="I10" s="24"/>
      <c r="J10" s="24"/>
      <c r="K10" s="94" t="s">
        <v>74</v>
      </c>
      <c r="L10" s="26"/>
      <c r="M10" s="26"/>
      <c r="N10" s="95"/>
    </row>
    <row r="11" spans="1:14" ht="15.85" customHeight="1" x14ac:dyDescent="0.45">
      <c r="A11" s="31" t="s">
        <v>75</v>
      </c>
      <c r="B11" s="21" t="s">
        <v>68</v>
      </c>
      <c r="C11" s="22" t="s">
        <v>67</v>
      </c>
      <c r="D11" s="34" t="s">
        <v>76</v>
      </c>
      <c r="E11" s="50"/>
      <c r="F11" s="24"/>
      <c r="G11" s="60">
        <v>4.07</v>
      </c>
      <c r="H11" s="63">
        <v>2.67</v>
      </c>
      <c r="I11" s="25"/>
      <c r="J11" s="25"/>
      <c r="K11" s="38" t="s">
        <v>77</v>
      </c>
      <c r="L11" s="21" t="s">
        <v>60</v>
      </c>
      <c r="M11" s="21" t="s">
        <v>78</v>
      </c>
      <c r="N11" s="41" t="s">
        <v>79</v>
      </c>
    </row>
    <row r="12" spans="1:14" ht="16.25" customHeight="1" thickBot="1" x14ac:dyDescent="0.5">
      <c r="A12" s="32"/>
      <c r="B12" s="28"/>
      <c r="C12" s="29"/>
      <c r="D12" s="35" t="s">
        <v>80</v>
      </c>
      <c r="E12" s="51"/>
      <c r="F12" s="25"/>
      <c r="G12" s="24"/>
      <c r="H12" s="24"/>
      <c r="I12" s="58">
        <v>4.07</v>
      </c>
      <c r="J12" s="93">
        <v>2.67</v>
      </c>
      <c r="K12" s="39" t="s">
        <v>81</v>
      </c>
      <c r="L12" s="28"/>
      <c r="M12" s="28"/>
      <c r="N12" s="42"/>
    </row>
    <row r="13" spans="1:14" ht="15.95" customHeight="1" thickBot="1" x14ac:dyDescent="0.5">
      <c r="A13" s="45" t="s">
        <v>82</v>
      </c>
      <c r="B13" s="43" t="s">
        <v>83</v>
      </c>
      <c r="C13" s="44" t="s">
        <v>84</v>
      </c>
      <c r="D13" s="46" t="s">
        <v>85</v>
      </c>
      <c r="E13" s="62">
        <v>22.22</v>
      </c>
      <c r="F13" s="63">
        <v>11.11</v>
      </c>
      <c r="G13" s="24"/>
      <c r="H13" s="24"/>
      <c r="I13" s="24"/>
      <c r="J13" s="24"/>
      <c r="K13" s="47" t="s">
        <v>86</v>
      </c>
      <c r="L13" s="43" t="s">
        <v>87</v>
      </c>
      <c r="M13" s="43" t="s">
        <v>88</v>
      </c>
      <c r="N13" s="48" t="s">
        <v>89</v>
      </c>
    </row>
    <row r="14" spans="1:14" ht="15.95" customHeight="1" thickBot="1" x14ac:dyDescent="0.5">
      <c r="A14" s="45" t="s">
        <v>40</v>
      </c>
      <c r="B14" s="43"/>
      <c r="C14" s="44" t="s">
        <v>41</v>
      </c>
      <c r="D14" s="46" t="s">
        <v>90</v>
      </c>
      <c r="E14" s="50"/>
      <c r="F14" s="24"/>
      <c r="G14" s="60"/>
      <c r="H14" s="63"/>
      <c r="I14" s="25"/>
      <c r="J14" s="25"/>
      <c r="K14" s="47" t="s">
        <v>91</v>
      </c>
      <c r="L14" s="43" t="s">
        <v>41</v>
      </c>
      <c r="M14" s="43"/>
      <c r="N14" s="48" t="s">
        <v>40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92</v>
      </c>
      <c r="E15" s="54"/>
      <c r="F15" s="11"/>
      <c r="G15" s="55"/>
      <c r="H15" s="55"/>
      <c r="I15" s="64"/>
      <c r="J15" s="65"/>
      <c r="K15" s="47" t="s">
        <v>93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60.8</v>
      </c>
      <c r="F16" s="69"/>
      <c r="G16" s="69">
        <f>SUM(G4:H15)</f>
        <v>27.47</v>
      </c>
      <c r="H16" s="69"/>
      <c r="I16" s="70">
        <f>SUM(I4:J15)</f>
        <v>27.47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263.31745344304892</v>
      </c>
      <c r="F17" s="77"/>
      <c r="G17" s="77">
        <f>IFERROR(G16*1000/230.9,"")</f>
        <v>118.96925075790385</v>
      </c>
      <c r="H17" s="77"/>
      <c r="I17" s="78">
        <f>IFERROR(I16*1000/230.9,"")</f>
        <v>118.96925075790385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115.74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90" t="s">
        <v>46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48</v>
      </c>
      <c r="B22" s="83"/>
      <c r="C22" s="83"/>
      <c r="D22" s="91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8" t="s">
        <v>79</v>
      </c>
      <c r="B23" s="83">
        <v>8</v>
      </c>
      <c r="C23" s="83">
        <v>100</v>
      </c>
      <c r="D23" s="91">
        <v>8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7" t="s">
        <v>56</v>
      </c>
      <c r="B24" s="83"/>
      <c r="C24" s="83"/>
      <c r="D24" s="91"/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8" t="s">
        <v>75</v>
      </c>
      <c r="B25" s="83">
        <v>12.22</v>
      </c>
      <c r="C25" s="83">
        <v>100</v>
      </c>
      <c r="D25" s="91">
        <v>12.22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8" t="s">
        <v>89</v>
      </c>
      <c r="B26" s="83">
        <v>11.11</v>
      </c>
      <c r="C26" s="83">
        <v>100</v>
      </c>
      <c r="D26" s="91">
        <v>11.11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8" t="s">
        <v>82</v>
      </c>
      <c r="B27" s="83">
        <v>22.22</v>
      </c>
      <c r="C27" s="83">
        <v>100</v>
      </c>
      <c r="D27" s="91">
        <v>22.22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8" t="s">
        <v>70</v>
      </c>
      <c r="B28" s="83">
        <v>12.22</v>
      </c>
      <c r="C28" s="83">
        <v>100</v>
      </c>
      <c r="D28" s="91">
        <v>12.22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8" t="s">
        <v>64</v>
      </c>
      <c r="B29" s="83">
        <v>24.44</v>
      </c>
      <c r="C29" s="83">
        <v>100</v>
      </c>
      <c r="D29" s="91">
        <v>24.44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8" t="s">
        <v>69</v>
      </c>
      <c r="B30" s="83">
        <v>13.33</v>
      </c>
      <c r="C30" s="83">
        <v>100</v>
      </c>
      <c r="D30" s="91">
        <v>13.33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8" t="s">
        <v>72</v>
      </c>
      <c r="B31" s="83">
        <v>12.22</v>
      </c>
      <c r="C31" s="83">
        <v>100</v>
      </c>
      <c r="D31" s="91">
        <v>12.22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ht="14.65" thickBot="1" x14ac:dyDescent="0.5">
      <c r="A32" s="89" t="s">
        <v>50</v>
      </c>
      <c r="B32" s="85"/>
      <c r="C32" s="85"/>
      <c r="D32" s="92">
        <v>115.76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</row>
  </sheetData>
  <mergeCells count="34">
    <mergeCell ref="G13:H13"/>
    <mergeCell ref="I13:J13"/>
    <mergeCell ref="E14:F14"/>
    <mergeCell ref="G15:H15"/>
    <mergeCell ref="E18:J18"/>
    <mergeCell ref="C17:D17"/>
    <mergeCell ref="E17:F17"/>
    <mergeCell ref="G17:H17"/>
    <mergeCell ref="I17:J17"/>
    <mergeCell ref="C18:D18"/>
    <mergeCell ref="E8:F8"/>
    <mergeCell ref="G9:H9"/>
    <mergeCell ref="C16:D16"/>
    <mergeCell ref="E16:F16"/>
    <mergeCell ref="G16:H16"/>
    <mergeCell ref="I16:J16"/>
    <mergeCell ref="G10:H10"/>
    <mergeCell ref="I10:J10"/>
    <mergeCell ref="E11:F11"/>
    <mergeCell ref="G12:H12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36"/>
  <sheetViews>
    <sheetView zoomScale="105"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62</v>
      </c>
      <c r="B2" s="12" t="s">
        <v>30</v>
      </c>
      <c r="C2" s="12" t="s">
        <v>57</v>
      </c>
      <c r="D2" s="16" t="s">
        <v>61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0.91</v>
      </c>
      <c r="F4" s="57">
        <v>0.91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94</v>
      </c>
      <c r="B5" s="21" t="s">
        <v>95</v>
      </c>
      <c r="C5" s="22" t="s">
        <v>96</v>
      </c>
      <c r="D5" s="34" t="s">
        <v>2</v>
      </c>
      <c r="E5" s="49"/>
      <c r="F5" s="23"/>
      <c r="G5" s="58">
        <v>0.91</v>
      </c>
      <c r="H5" s="59">
        <v>0.91</v>
      </c>
      <c r="I5" s="24"/>
      <c r="J5" s="24"/>
      <c r="K5" s="38" t="s">
        <v>3</v>
      </c>
      <c r="L5" s="21" t="s">
        <v>96</v>
      </c>
      <c r="M5" s="21" t="s">
        <v>78</v>
      </c>
      <c r="N5" s="41" t="s">
        <v>97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0.91</v>
      </c>
      <c r="J6" s="61">
        <v>0.91</v>
      </c>
      <c r="K6" s="39" t="s">
        <v>5</v>
      </c>
      <c r="L6" s="28"/>
      <c r="M6" s="28"/>
      <c r="N6" s="42"/>
    </row>
    <row r="7" spans="1:14" ht="15.75" x14ac:dyDescent="0.45">
      <c r="A7" s="30"/>
      <c r="B7" s="26"/>
      <c r="C7" s="27"/>
      <c r="D7" s="33" t="s">
        <v>6</v>
      </c>
      <c r="E7" s="62"/>
      <c r="F7" s="63"/>
      <c r="G7" s="24"/>
      <c r="H7" s="24"/>
      <c r="I7" s="24"/>
      <c r="J7" s="24"/>
      <c r="K7" s="94" t="s">
        <v>7</v>
      </c>
      <c r="L7" s="26"/>
      <c r="M7" s="26"/>
      <c r="N7" s="95"/>
    </row>
    <row r="8" spans="1:14" ht="15.75" x14ac:dyDescent="0.45">
      <c r="A8" s="31" t="s">
        <v>98</v>
      </c>
      <c r="B8" s="21" t="s">
        <v>78</v>
      </c>
      <c r="C8" s="22" t="s">
        <v>96</v>
      </c>
      <c r="D8" s="34" t="s">
        <v>8</v>
      </c>
      <c r="E8" s="50"/>
      <c r="F8" s="24"/>
      <c r="G8" s="60"/>
      <c r="H8" s="63"/>
      <c r="I8" s="25"/>
      <c r="J8" s="25"/>
      <c r="K8" s="38" t="s">
        <v>9</v>
      </c>
      <c r="L8" s="21"/>
      <c r="M8" s="21"/>
      <c r="N8" s="41" t="s">
        <v>99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/>
      <c r="J9" s="93"/>
      <c r="K9" s="39" t="s">
        <v>11</v>
      </c>
      <c r="L9" s="28"/>
      <c r="M9" s="28"/>
      <c r="N9" s="42"/>
    </row>
    <row r="10" spans="1:14" ht="15.85" customHeight="1" thickBot="1" x14ac:dyDescent="0.5">
      <c r="A10" s="45" t="s">
        <v>100</v>
      </c>
      <c r="B10" s="43" t="s">
        <v>101</v>
      </c>
      <c r="C10" s="44" t="s">
        <v>102</v>
      </c>
      <c r="D10" s="46" t="s">
        <v>73</v>
      </c>
      <c r="E10" s="62">
        <v>3</v>
      </c>
      <c r="F10" s="63">
        <v>2.67</v>
      </c>
      <c r="G10" s="24"/>
      <c r="H10" s="24"/>
      <c r="I10" s="24"/>
      <c r="J10" s="24"/>
      <c r="K10" s="47" t="s">
        <v>74</v>
      </c>
      <c r="L10" s="43" t="s">
        <v>102</v>
      </c>
      <c r="M10" s="43" t="s">
        <v>103</v>
      </c>
      <c r="N10" s="48" t="s">
        <v>104</v>
      </c>
    </row>
    <row r="11" spans="1:14" ht="15.85" customHeight="1" thickBot="1" x14ac:dyDescent="0.5">
      <c r="A11" s="45" t="s">
        <v>105</v>
      </c>
      <c r="B11" s="43" t="s">
        <v>106</v>
      </c>
      <c r="C11" s="44" t="s">
        <v>107</v>
      </c>
      <c r="D11" s="46" t="s">
        <v>76</v>
      </c>
      <c r="E11" s="50"/>
      <c r="F11" s="24"/>
      <c r="G11" s="60">
        <v>1</v>
      </c>
      <c r="H11" s="63">
        <v>1</v>
      </c>
      <c r="I11" s="25"/>
      <c r="J11" s="25"/>
      <c r="K11" s="47" t="s">
        <v>77</v>
      </c>
      <c r="L11" s="43" t="s">
        <v>107</v>
      </c>
      <c r="M11" s="43" t="s">
        <v>103</v>
      </c>
      <c r="N11" s="48" t="s">
        <v>108</v>
      </c>
    </row>
    <row r="12" spans="1:14" ht="16.25" customHeight="1" thickBot="1" x14ac:dyDescent="0.5">
      <c r="A12" s="45" t="s">
        <v>109</v>
      </c>
      <c r="B12" s="43" t="s">
        <v>110</v>
      </c>
      <c r="C12" s="44" t="s">
        <v>107</v>
      </c>
      <c r="D12" s="46" t="s">
        <v>80</v>
      </c>
      <c r="E12" s="51"/>
      <c r="F12" s="25"/>
      <c r="G12" s="24"/>
      <c r="H12" s="24"/>
      <c r="I12" s="58">
        <v>1</v>
      </c>
      <c r="J12" s="93">
        <v>0.33</v>
      </c>
      <c r="K12" s="47" t="s">
        <v>81</v>
      </c>
      <c r="L12" s="43" t="s">
        <v>107</v>
      </c>
      <c r="M12" s="43" t="s">
        <v>111</v>
      </c>
      <c r="N12" s="48" t="s">
        <v>112</v>
      </c>
    </row>
    <row r="13" spans="1:14" ht="15.95" customHeight="1" thickBot="1" x14ac:dyDescent="0.5">
      <c r="A13" s="45" t="s">
        <v>113</v>
      </c>
      <c r="B13" s="43" t="s">
        <v>111</v>
      </c>
      <c r="C13" s="44" t="s">
        <v>107</v>
      </c>
      <c r="D13" s="46" t="s">
        <v>85</v>
      </c>
      <c r="E13" s="62">
        <v>0.25</v>
      </c>
      <c r="F13" s="63"/>
      <c r="G13" s="24"/>
      <c r="H13" s="24"/>
      <c r="I13" s="24"/>
      <c r="J13" s="24"/>
      <c r="K13" s="47" t="s">
        <v>86</v>
      </c>
      <c r="L13" s="43" t="s">
        <v>41</v>
      </c>
      <c r="M13" s="43"/>
      <c r="N13" s="48" t="s">
        <v>40</v>
      </c>
    </row>
    <row r="14" spans="1:14" ht="15.95" customHeight="1" thickBot="1" x14ac:dyDescent="0.5">
      <c r="A14" s="45" t="s">
        <v>40</v>
      </c>
      <c r="B14" s="43"/>
      <c r="C14" s="44" t="s">
        <v>41</v>
      </c>
      <c r="D14" s="46" t="s">
        <v>90</v>
      </c>
      <c r="E14" s="50"/>
      <c r="F14" s="24"/>
      <c r="G14" s="60"/>
      <c r="H14" s="63"/>
      <c r="I14" s="25"/>
      <c r="J14" s="25"/>
      <c r="K14" s="47" t="s">
        <v>91</v>
      </c>
      <c r="L14" s="43"/>
      <c r="M14" s="43"/>
      <c r="N14" s="48" t="s">
        <v>42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92</v>
      </c>
      <c r="E15" s="54"/>
      <c r="F15" s="11"/>
      <c r="G15" s="55"/>
      <c r="H15" s="55"/>
      <c r="I15" s="64"/>
      <c r="J15" s="65"/>
      <c r="K15" s="47" t="s">
        <v>93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7.74</v>
      </c>
      <c r="F16" s="69"/>
      <c r="G16" s="69">
        <f>SUM(G4:H15)</f>
        <v>3.8200000000000003</v>
      </c>
      <c r="H16" s="69"/>
      <c r="I16" s="70">
        <f>SUM(I4:J15)</f>
        <v>3.1500000000000004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33.521004763967085</v>
      </c>
      <c r="F17" s="77"/>
      <c r="G17" s="77">
        <f>IFERROR(G16*1000/230.9,"")</f>
        <v>16.543958423559985</v>
      </c>
      <c r="H17" s="77"/>
      <c r="I17" s="78">
        <f>IFERROR(I16*1000/230.9,"")</f>
        <v>13.642269380684281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14.71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90" t="s">
        <v>46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47</v>
      </c>
      <c r="B22" s="83"/>
      <c r="C22" s="83"/>
      <c r="D22" s="91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8" t="s">
        <v>108</v>
      </c>
      <c r="B23" s="83">
        <v>1</v>
      </c>
      <c r="C23" s="83">
        <v>100</v>
      </c>
      <c r="D23" s="91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8" t="s">
        <v>99</v>
      </c>
      <c r="B24" s="83">
        <v>0</v>
      </c>
      <c r="C24" s="83">
        <v>100</v>
      </c>
      <c r="D24" s="91">
        <v>0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8" t="s">
        <v>112</v>
      </c>
      <c r="B25" s="83">
        <v>0.33</v>
      </c>
      <c r="C25" s="83">
        <v>100</v>
      </c>
      <c r="D25" s="91">
        <v>0.33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8" t="s">
        <v>105</v>
      </c>
      <c r="B26" s="83">
        <v>1</v>
      </c>
      <c r="C26" s="83">
        <v>100</v>
      </c>
      <c r="D26" s="91">
        <v>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8" t="s">
        <v>100</v>
      </c>
      <c r="B27" s="83">
        <v>3.33</v>
      </c>
      <c r="C27" s="83">
        <v>90</v>
      </c>
      <c r="D27" s="91">
        <v>3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8" t="s">
        <v>104</v>
      </c>
      <c r="B28" s="83">
        <v>3.33</v>
      </c>
      <c r="C28" s="83">
        <v>80.2</v>
      </c>
      <c r="D28" s="91">
        <v>2.67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7" t="s">
        <v>48</v>
      </c>
      <c r="B29" s="83"/>
      <c r="C29" s="83"/>
      <c r="D29" s="91"/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8" t="s">
        <v>113</v>
      </c>
      <c r="B30" s="83">
        <v>0.25</v>
      </c>
      <c r="C30" s="83">
        <v>100</v>
      </c>
      <c r="D30" s="91">
        <v>0.25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8" t="s">
        <v>94</v>
      </c>
      <c r="B31" s="83">
        <v>2.72</v>
      </c>
      <c r="C31" s="83">
        <v>100</v>
      </c>
      <c r="D31" s="91">
        <v>2.72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x14ac:dyDescent="0.45">
      <c r="A32" s="88" t="s">
        <v>97</v>
      </c>
      <c r="B32" s="83">
        <v>2.72</v>
      </c>
      <c r="C32" s="83">
        <v>100</v>
      </c>
      <c r="D32" s="91">
        <v>2.72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14" x14ac:dyDescent="0.45">
      <c r="A33" s="88" t="s">
        <v>98</v>
      </c>
      <c r="B33" s="83">
        <v>2.72</v>
      </c>
      <c r="C33" s="83">
        <v>0</v>
      </c>
      <c r="D33" s="91">
        <v>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x14ac:dyDescent="0.45">
      <c r="A34" s="87" t="s">
        <v>56</v>
      </c>
      <c r="B34" s="83"/>
      <c r="C34" s="83"/>
      <c r="D34" s="91"/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spans="1:14" x14ac:dyDescent="0.45">
      <c r="A35" s="88" t="s">
        <v>109</v>
      </c>
      <c r="B35" s="83">
        <v>1</v>
      </c>
      <c r="C35" s="83">
        <v>100</v>
      </c>
      <c r="D35" s="91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14" ht="14.65" thickBot="1" x14ac:dyDescent="0.5">
      <c r="A36" s="89" t="s">
        <v>50</v>
      </c>
      <c r="B36" s="85"/>
      <c r="C36" s="85"/>
      <c r="D36" s="92">
        <v>14.69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34">
    <mergeCell ref="E18:J18"/>
    <mergeCell ref="I17:J17"/>
    <mergeCell ref="I3:J3"/>
    <mergeCell ref="I4:J4"/>
    <mergeCell ref="I5:J5"/>
    <mergeCell ref="I7:J7"/>
    <mergeCell ref="I10:J10"/>
    <mergeCell ref="I13:J13"/>
    <mergeCell ref="C17:D17"/>
    <mergeCell ref="C18:D18"/>
    <mergeCell ref="E3:F3"/>
    <mergeCell ref="G3:H3"/>
    <mergeCell ref="G4:H4"/>
    <mergeCell ref="E5:F5"/>
    <mergeCell ref="E6:F6"/>
    <mergeCell ref="G7:H7"/>
    <mergeCell ref="E8:F8"/>
    <mergeCell ref="G9:H9"/>
    <mergeCell ref="E16:F16"/>
    <mergeCell ref="G16:H16"/>
    <mergeCell ref="E17:F17"/>
    <mergeCell ref="G17:H17"/>
    <mergeCell ref="G10:H10"/>
    <mergeCell ref="D1:E1"/>
    <mergeCell ref="F1:M1"/>
    <mergeCell ref="D2:E2"/>
    <mergeCell ref="F2:M2"/>
    <mergeCell ref="C16:D16"/>
    <mergeCell ref="I16:J16"/>
    <mergeCell ref="E11:F11"/>
    <mergeCell ref="G12:H12"/>
    <mergeCell ref="G13:H13"/>
    <mergeCell ref="E14:F14"/>
    <mergeCell ref="G15:H15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MDB-1</vt:lpstr>
      <vt:lpstr>MDP-EX</vt:lpstr>
      <vt:lpstr>DP-X</vt:lpstr>
      <vt:lpstr>LPEX2</vt:lpstr>
      <vt:lpstr>DP-F</vt:lpstr>
      <vt:lpstr>Panel</vt:lpstr>
      <vt:lpstr>'DP-F'!PanelVoltage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2026-05-20T11:44:54Z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