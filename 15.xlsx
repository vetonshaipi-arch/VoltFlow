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CURSORAI\SwitchboardSuite\"/>
    </mc:Choice>
  </mc:AlternateContent>
  <xr:revisionPtr revIDLastSave="0" documentId="13_ncr:1_{5AAC19F8-7888-4CBE-9540-4C4DCA61E9C3}" xr6:coauthVersionLast="47" xr6:coauthVersionMax="47" xr10:uidLastSave="{00000000-0000-0000-0000-000000000000}"/>
  <bookViews>
    <workbookView xWindow="-98" yWindow="-98" windowWidth="22695" windowHeight="14476" xr2:uid="{834FCB8D-0E3D-4699-B124-606F3FE5F405}"/>
  </bookViews>
  <sheets>
    <sheet name="MDB-1" sheetId="5" r:id="rId1"/>
    <sheet name="MDP-EX" sheetId="4" r:id="rId2"/>
    <sheet name="DP-X" sheetId="3" r:id="rId3"/>
    <sheet name="LPEX2" sheetId="2" r:id="rId4"/>
    <sheet name="DP-F" sheetId="1" r:id="rId5"/>
  </sheets>
  <definedNames>
    <definedName name="Panel">'DP-F'!$B$4</definedName>
    <definedName name="PanelVoltage" localSheetId="4">'DP-F'!$B$4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1" l="1"/>
  <c r="I17" i="1"/>
  <c r="E16" i="1"/>
  <c r="E18" i="1" s="1"/>
  <c r="G16" i="1"/>
  <c r="I16" i="1"/>
  <c r="E10" i="2"/>
  <c r="E11" i="2" s="1"/>
  <c r="G10" i="2"/>
  <c r="G11" i="2" s="1"/>
  <c r="I10" i="2"/>
  <c r="I11" i="2" s="1"/>
  <c r="E10" i="3"/>
  <c r="E12" i="3" s="1"/>
  <c r="G10" i="3"/>
  <c r="G11" i="3" s="1"/>
  <c r="I10" i="3"/>
  <c r="I11" i="3" s="1"/>
  <c r="E12" i="4"/>
  <c r="E10" i="4"/>
  <c r="E11" i="4" s="1"/>
  <c r="G10" i="4"/>
  <c r="G11" i="4" s="1"/>
  <c r="I10" i="4"/>
  <c r="I11" i="4" s="1"/>
  <c r="E11" i="5"/>
  <c r="E10" i="5"/>
  <c r="G10" i="5"/>
  <c r="E12" i="5" s="1"/>
  <c r="I10" i="5"/>
  <c r="I11" i="5" s="1"/>
  <c r="E11" i="3" l="1"/>
  <c r="E12" i="2"/>
  <c r="G11" i="5"/>
  <c r="E17" i="1"/>
</calcChain>
</file>

<file path=xl/sharedStrings.xml><?xml version="1.0" encoding="utf-8"?>
<sst xmlns="http://schemas.openxmlformats.org/spreadsheetml/2006/main" count="347" uniqueCount="100">
  <si>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</si>
  <si>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</si>
  <si>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</si>
  <si>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</si>
  <si>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</si>
  <si>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</si>
  <si>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</si>
  <si>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</si>
  <si>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</si>
  <si>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</si>
  <si>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</si>
  <si>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</si>
  <si>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Amps Per Phase</t>
  </si>
  <si>
    <t>Power Per Phase (kVA)</t>
  </si>
  <si>
    <t>Total Power (kVA)</t>
  </si>
  <si>
    <t>No</t>
  </si>
  <si>
    <t>CB</t>
  </si>
  <si>
    <t>Description</t>
  </si>
  <si>
    <t>Conductor</t>
  </si>
  <si>
    <t>L1 [kVA]</t>
  </si>
  <si>
    <t>L2 [kVA]</t>
  </si>
  <si>
    <t>L3 [kVA]</t>
  </si>
  <si>
    <t>Name:</t>
  </si>
  <si>
    <t>Main CB type:</t>
  </si>
  <si>
    <t>Main CB size:</t>
  </si>
  <si>
    <t>Main Cable size:</t>
  </si>
  <si>
    <t>Source:</t>
  </si>
  <si>
    <t>MDB-1</t>
  </si>
  <si>
    <t>IP Protection Rating:</t>
  </si>
  <si>
    <t>MCCB</t>
  </si>
  <si>
    <t>IP54</t>
  </si>
  <si>
    <t>2500A-3p</t>
  </si>
  <si>
    <t>2×4×630/400 XLPE</t>
  </si>
  <si>
    <t>1500 kVA / 13 kV Transformer</t>
  </si>
  <si>
    <t>MDP/EX</t>
  </si>
  <si>
    <t>4×150/95 PVC</t>
  </si>
  <si>
    <t>125A-3p</t>
  </si>
  <si>
    <t>2000A-3p</t>
  </si>
  <si>
    <t>3×4×1000/500 PVC</t>
  </si>
  <si>
    <t>Fixed AS-BUILT Load</t>
  </si>
  <si>
    <t>SPARE</t>
  </si>
  <si>
    <t>20A-1p</t>
  </si>
  <si>
    <t>SPACE</t>
  </si>
  <si>
    <t>Load</t>
  </si>
  <si>
    <t>kVA</t>
  </si>
  <si>
    <t>DF %</t>
  </si>
  <si>
    <t>Demand kVA</t>
  </si>
  <si>
    <t>Lighting</t>
  </si>
  <si>
    <t>Motor</t>
  </si>
  <si>
    <t>Sub-panel</t>
  </si>
  <si>
    <t>Cumulative Demand Load</t>
  </si>
  <si>
    <t>4×150/95 XLPE</t>
  </si>
  <si>
    <t>FIXED AS-Build Load</t>
  </si>
  <si>
    <t>4×16/16 PVC</t>
  </si>
  <si>
    <t>63A-3p</t>
  </si>
  <si>
    <t>80A-3p</t>
  </si>
  <si>
    <t>DP-X</t>
  </si>
  <si>
    <t>Other</t>
  </si>
  <si>
    <t>LPEX2</t>
  </si>
  <si>
    <t>4×70/35 PVC</t>
  </si>
  <si>
    <t>13A-3p</t>
  </si>
  <si>
    <t>50A-3p</t>
  </si>
  <si>
    <t>DP-F</t>
  </si>
  <si>
    <t>MCB</t>
  </si>
  <si>
    <t>4×70/35 XLPE</t>
  </si>
  <si>
    <t>Fixed AS-Built Load</t>
  </si>
  <si>
    <t>4×1.5/1.5 PVC</t>
  </si>
  <si>
    <t>Sump Pump 1 w/ Soft Start</t>
  </si>
  <si>
    <t>4C1.5 + 1.5 PVC</t>
  </si>
  <si>
    <t>6A-3p</t>
  </si>
  <si>
    <t>Sump Pump 2 w/ Soft Start</t>
  </si>
  <si>
    <t>16A-1p</t>
  </si>
  <si>
    <t>2×35/25 PVC</t>
  </si>
  <si>
    <t>Waterwall LED Lighting #1</t>
  </si>
  <si>
    <t>Sump Pump 3 (Backup) w/ Soft Start</t>
  </si>
  <si>
    <t>2×16/16 PVC</t>
  </si>
  <si>
    <t>Waterwall LED Lighting #2</t>
  </si>
  <si>
    <t>6A-1p</t>
  </si>
  <si>
    <t>2×10/10 PVC</t>
  </si>
  <si>
    <t>LED Bollards</t>
  </si>
  <si>
    <t>Control System</t>
  </si>
  <si>
    <t>13</t>
  </si>
  <si>
    <t>14</t>
  </si>
  <si>
    <t>2×2.5/2.5 PVC</t>
  </si>
  <si>
    <t>Auxiliary / Socket @ DB-F</t>
  </si>
  <si>
    <t>Filter Room Lighting</t>
  </si>
  <si>
    <t>2×1.5/1.5 PVC</t>
  </si>
  <si>
    <t>15</t>
  </si>
  <si>
    <t>16</t>
  </si>
  <si>
    <t>Filter Room Exhaust Fan #1</t>
  </si>
  <si>
    <t>17</t>
  </si>
  <si>
    <t>18</t>
  </si>
  <si>
    <t>Feeder-14</t>
  </si>
  <si>
    <t/>
  </si>
  <si>
    <t>19</t>
  </si>
  <si>
    <t>20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</si>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</sst>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2" fillId="0" borderId="8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>
      <alignment horizontal="center" vertical="center"/>
    </xf>
    <xf numFmtId="0" fontId="0" fillId="0" borderId="21" xfId="0" applyBorder="1" applyAlignment="1">
      <alignment vertical="top"/>
    </xf>
    <xf numFmtId="0" fontId="0" fillId="0" borderId="21" xfId="0" applyBorder="1" applyAlignment="1">
      <alignment horizontal="left" vertical="top"/>
    </xf>
    <xf numFmtId="0" fontId="4" fillId="2" borderId="5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5" fillId="0" borderId="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0" xfId="0" applyFont="1" applyBorder="1" applyAlignment="1" applyProtection="1">
      <alignment horizontal="center" vertical="center"/>
      <protection locked="0"/>
    </xf>
    <xf numFmtId="49" fontId="3" fillId="0" borderId="0" xfId="0" applyNumberFormat="1" applyFont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>
      <alignment horizontal="center" vertical="center"/>
    </xf>
    <xf numFmtId="0" fontId="3" fillId="0" borderId="15" xfId="0" applyFont="1" applyBorder="1" applyAlignment="1" applyProtection="1">
      <alignment horizontal="center" vertical="center"/>
      <protection locked="0"/>
    </xf>
    <xf numFmtId="49" fontId="3" fillId="0" borderId="15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28" xfId="0" applyFont="1" applyBorder="1" applyAlignment="1" applyProtection="1">
      <alignment horizontal="center" vertical="center"/>
      <protection locked="0"/>
    </xf>
    <xf numFmtId="0" fontId="3" fillId="0" borderId="29" xfId="0" applyFont="1" applyBorder="1" applyAlignment="1" applyProtection="1">
      <alignment horizontal="center" vertical="center"/>
      <protection locked="0"/>
    </xf>
    <xf numFmtId="49" fontId="3" fillId="0" borderId="18" xfId="0" applyNumberFormat="1" applyFont="1" applyBorder="1" applyAlignment="1">
      <alignment horizontal="center" vertical="center"/>
    </xf>
    <xf numFmtId="49" fontId="3" fillId="0" borderId="31" xfId="0" applyNumberFormat="1" applyFont="1" applyBorder="1" applyAlignment="1">
      <alignment horizontal="center" vertical="center"/>
    </xf>
    <xf numFmtId="49" fontId="3" fillId="0" borderId="32" xfId="0" applyNumberFormat="1" applyFont="1" applyBorder="1" applyAlignment="1">
      <alignment horizontal="center" vertical="center"/>
    </xf>
    <xf numFmtId="0" fontId="3" fillId="0" borderId="33" xfId="0" applyFont="1" applyBorder="1" applyAlignment="1" applyProtection="1">
      <alignment horizontal="center" vertical="center"/>
      <protection locked="0"/>
    </xf>
    <xf numFmtId="49" fontId="3" fillId="0" borderId="36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/>
    </xf>
    <xf numFmtId="0" fontId="3" fillId="0" borderId="37" xfId="0" applyFont="1" applyBorder="1" applyAlignment="1" applyProtection="1">
      <alignment horizontal="center" vertical="center"/>
      <protection locked="0"/>
    </xf>
    <xf numFmtId="0" fontId="3" fillId="0" borderId="31" xfId="0" applyFont="1" applyBorder="1" applyAlignment="1" applyProtection="1">
      <alignment horizontal="center" vertical="center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25" xfId="0" applyFont="1" applyBorder="1" applyAlignment="1" applyProtection="1">
      <alignment horizontal="center" vertical="center"/>
      <protection locked="0"/>
    </xf>
    <xf numFmtId="49" fontId="3" fillId="0" borderId="25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49" fontId="3" fillId="0" borderId="38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38" xfId="0" applyFont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>
      <alignment horizontal="center" vertical="center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30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0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9" xfId="0" applyFont="1" applyBorder="1" applyAlignment="1" applyProtection="1">
      <alignment horizontal="center" vertical="center"/>
      <protection locked="0"/>
    </xf>
    <xf numFmtId="0" fontId="4" fillId="0" borderId="41" xfId="0" applyFont="1" applyBorder="1" applyAlignment="1" applyProtection="1">
      <alignment horizontal="center" vertical="center"/>
      <protection locked="0"/>
    </xf>
    <xf numFmtId="0" fontId="3" fillId="0" borderId="4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4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8" xfId="0" applyFont="1" applyBorder="1" applyAlignment="1">
      <alignment horizontal="left" vertical="center"/>
    </xf>
    <xf numFmtId="2" fontId="3" fillId="0" borderId="44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0" xfId="0" applyBorder="1"/>
    <xf numFmtId="0" fontId="0" fillId="0" borderId="15" xfId="0" applyBorder="1"/>
    <xf numFmtId="0" fontId="0" fillId="0" borderId="5" xfId="0" applyBorder="1"/>
    <xf numFmtId="0" fontId="0" fillId="0" borderId="17" xfId="0" applyBorder="1"/>
    <xf numFmtId="0" fontId="0" fillId="0" borderId="28" xfId="0" applyBorder="1"/>
    <xf numFmtId="0" fontId="0" fillId="0" borderId="29" xfId="0" applyBorder="1"/>
    <xf numFmtId="0" fontId="0" fillId="0" borderId="18" xfId="0" applyBorder="1"/>
    <xf numFmtId="0" fontId="0" fillId="0" borderId="31" xfId="0" applyBorder="1"/>
    <xf numFmtId="0" fontId="0" fillId="0" borderId="32" xfId="0" applyBorder="1"/>
    <xf numFmtId="0" fontId="3" fillId="0" borderId="34" xfId="0" applyFont="1" applyBorder="1" applyAlignment="1" applyProtection="1">
      <alignment horizontal="center" vertical="center"/>
      <protection locked="0"/>
    </xf>
    <xf numFmtId="49" fontId="3" fillId="0" borderId="35" xfId="0" applyNumberFormat="1" applyFont="1" applyBorder="1" applyAlignment="1">
      <alignment horizontal="center" vertical="center"/>
    </xf>
    <xf numFmtId="0" fontId="3" fillId="0" borderId="45" xfId="0" applyFont="1" applyBorder="1" applyAlignment="1" applyProtection="1">
      <alignment horizontal="center" vertical="center"/>
      <protection locked="0"/>
    </xf>
    <xf numFmtId="0" fontId="4" fillId="0" borderId="39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62894-87F6-444A-A0F5-E32FBC04AD4C}">
  <dimension ref="A1:N22"/>
  <sheetViews>
    <sheetView tabSelected="1" workbookViewId="0">
      <selection sqref="A1:XFD1048576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9" t="s">
        <v>22</v>
      </c>
      <c r="B1" s="9" t="s">
        <v>28</v>
      </c>
      <c r="C1" s="9" t="s">
        <v>23</v>
      </c>
      <c r="D1" s="13" t="s">
        <v>24</v>
      </c>
      <c r="E1" s="14"/>
      <c r="F1" s="13" t="s">
        <v>25</v>
      </c>
      <c r="G1" s="15"/>
      <c r="H1" s="15"/>
      <c r="I1" s="15"/>
      <c r="J1" s="15"/>
      <c r="K1" s="15"/>
      <c r="L1" s="15"/>
      <c r="M1" s="14"/>
      <c r="N1" s="10" t="s">
        <v>26</v>
      </c>
    </row>
    <row r="2" spans="1:14" ht="31.5" customHeight="1" thickBot="1" x14ac:dyDescent="0.5">
      <c r="A2" s="12" t="s">
        <v>27</v>
      </c>
      <c r="B2" s="12" t="s">
        <v>30</v>
      </c>
      <c r="C2" s="12" t="s">
        <v>29</v>
      </c>
      <c r="D2" s="16" t="s">
        <v>31</v>
      </c>
      <c r="E2" s="17"/>
      <c r="F2" s="16" t="s">
        <v>32</v>
      </c>
      <c r="G2" s="18"/>
      <c r="H2" s="18"/>
      <c r="I2" s="18"/>
      <c r="J2" s="18"/>
      <c r="K2" s="18"/>
      <c r="L2" s="18"/>
      <c r="M2" s="17"/>
      <c r="N2" s="12" t="s">
        <v>33</v>
      </c>
    </row>
    <row r="3" spans="1:14" ht="54.75" customHeight="1" thickBot="1" x14ac:dyDescent="0.5">
      <c r="A3" s="6" t="s">
        <v>17</v>
      </c>
      <c r="B3" s="4" t="s">
        <v>18</v>
      </c>
      <c r="C3" s="4" t="s">
        <v>16</v>
      </c>
      <c r="D3" s="4" t="s">
        <v>15</v>
      </c>
      <c r="E3" s="20" t="s">
        <v>19</v>
      </c>
      <c r="F3" s="20"/>
      <c r="G3" s="20" t="s">
        <v>20</v>
      </c>
      <c r="H3" s="20"/>
      <c r="I3" s="20" t="s">
        <v>21</v>
      </c>
      <c r="J3" s="20"/>
      <c r="K3" s="4" t="s">
        <v>15</v>
      </c>
      <c r="L3" s="7" t="s">
        <v>16</v>
      </c>
      <c r="M3" s="4" t="s">
        <v>18</v>
      </c>
      <c r="N3" s="8" t="s">
        <v>17</v>
      </c>
    </row>
    <row r="4" spans="1:14" ht="15.75" x14ac:dyDescent="0.45">
      <c r="A4" s="30"/>
      <c r="B4" s="26"/>
      <c r="C4" s="27"/>
      <c r="D4" s="33" t="s">
        <v>0</v>
      </c>
      <c r="E4" s="56">
        <v>20.329999999999998</v>
      </c>
      <c r="F4" s="57">
        <v>385.67</v>
      </c>
      <c r="G4" s="52"/>
      <c r="H4" s="52"/>
      <c r="I4" s="52"/>
      <c r="J4" s="53"/>
      <c r="K4" s="37" t="s">
        <v>1</v>
      </c>
      <c r="L4" s="36"/>
      <c r="M4" s="36"/>
      <c r="N4" s="40"/>
    </row>
    <row r="5" spans="1:14" ht="15.75" x14ac:dyDescent="0.45">
      <c r="A5" s="31" t="s">
        <v>34</v>
      </c>
      <c r="B5" s="21" t="s">
        <v>35</v>
      </c>
      <c r="C5" s="22" t="s">
        <v>36</v>
      </c>
      <c r="D5" s="34" t="s">
        <v>2</v>
      </c>
      <c r="E5" s="49"/>
      <c r="F5" s="23"/>
      <c r="G5" s="58">
        <v>20.329999999999998</v>
      </c>
      <c r="H5" s="59">
        <v>385.67</v>
      </c>
      <c r="I5" s="24"/>
      <c r="J5" s="24"/>
      <c r="K5" s="38" t="s">
        <v>3</v>
      </c>
      <c r="L5" s="21" t="s">
        <v>37</v>
      </c>
      <c r="M5" s="21" t="s">
        <v>38</v>
      </c>
      <c r="N5" s="41" t="s">
        <v>39</v>
      </c>
    </row>
    <row r="6" spans="1:14" ht="16.149999999999999" thickBot="1" x14ac:dyDescent="0.5">
      <c r="A6" s="32"/>
      <c r="B6" s="28"/>
      <c r="C6" s="29"/>
      <c r="D6" s="35" t="s">
        <v>4</v>
      </c>
      <c r="E6" s="50"/>
      <c r="F6" s="24"/>
      <c r="G6" s="25"/>
      <c r="H6" s="25"/>
      <c r="I6" s="60">
        <v>20.329999999999998</v>
      </c>
      <c r="J6" s="61">
        <v>385.67</v>
      </c>
      <c r="K6" s="39" t="s">
        <v>5</v>
      </c>
      <c r="L6" s="28"/>
      <c r="M6" s="28"/>
      <c r="N6" s="42"/>
    </row>
    <row r="7" spans="1:14" ht="16.149999999999999" thickBot="1" x14ac:dyDescent="0.5">
      <c r="A7" s="45" t="s">
        <v>40</v>
      </c>
      <c r="B7" s="43"/>
      <c r="C7" s="44" t="s">
        <v>41</v>
      </c>
      <c r="D7" s="46" t="s">
        <v>6</v>
      </c>
      <c r="E7" s="62"/>
      <c r="F7" s="63"/>
      <c r="G7" s="24"/>
      <c r="H7" s="24"/>
      <c r="I7" s="24"/>
      <c r="J7" s="24"/>
      <c r="K7" s="47" t="s">
        <v>7</v>
      </c>
      <c r="L7" s="43"/>
      <c r="M7" s="43"/>
      <c r="N7" s="48" t="s">
        <v>42</v>
      </c>
    </row>
    <row r="8" spans="1:14" ht="16.149999999999999" thickBot="1" x14ac:dyDescent="0.5">
      <c r="A8" s="45" t="s">
        <v>42</v>
      </c>
      <c r="B8" s="43"/>
      <c r="C8" s="44"/>
      <c r="D8" s="46" t="s">
        <v>8</v>
      </c>
      <c r="E8" s="50"/>
      <c r="F8" s="24"/>
      <c r="G8" s="60"/>
      <c r="H8" s="63"/>
      <c r="I8" s="25"/>
      <c r="J8" s="25"/>
      <c r="K8" s="47" t="s">
        <v>9</v>
      </c>
      <c r="L8" s="43"/>
      <c r="M8" s="43"/>
      <c r="N8" s="48" t="s">
        <v>42</v>
      </c>
    </row>
    <row r="9" spans="1:14" ht="16.149999999999999" thickBot="1" x14ac:dyDescent="0.5">
      <c r="A9" s="45" t="s">
        <v>42</v>
      </c>
      <c r="B9" s="43"/>
      <c r="C9" s="44"/>
      <c r="D9" s="46" t="s">
        <v>10</v>
      </c>
      <c r="E9" s="54"/>
      <c r="F9" s="11"/>
      <c r="G9" s="55"/>
      <c r="H9" s="55"/>
      <c r="I9" s="64"/>
      <c r="J9" s="65"/>
      <c r="K9" s="47" t="s">
        <v>11</v>
      </c>
      <c r="L9" s="43"/>
      <c r="M9" s="43"/>
      <c r="N9" s="48" t="s">
        <v>42</v>
      </c>
    </row>
    <row r="10" spans="1:14" x14ac:dyDescent="0.45">
      <c r="A10" s="1"/>
      <c r="C10" s="66" t="s">
        <v>13</v>
      </c>
      <c r="D10" s="67"/>
      <c r="E10" s="68">
        <f>SUM(E4:F9)</f>
        <v>406</v>
      </c>
      <c r="F10" s="69"/>
      <c r="G10" s="69">
        <f>SUM(G4:H9)</f>
        <v>406</v>
      </c>
      <c r="H10" s="69"/>
      <c r="I10" s="70">
        <f>SUM(I4:J9)</f>
        <v>406</v>
      </c>
      <c r="J10" s="71"/>
      <c r="K10" s="72"/>
      <c r="L10" s="2"/>
      <c r="M10" s="5"/>
      <c r="N10" s="1"/>
    </row>
    <row r="11" spans="1:14" ht="14.65" thickBot="1" x14ac:dyDescent="0.5">
      <c r="A11" s="1"/>
      <c r="C11" s="73" t="s">
        <v>12</v>
      </c>
      <c r="D11" s="74"/>
      <c r="E11" s="76">
        <f>IFERROR(E10*1000/230.9,"")</f>
        <v>1758.336942399307</v>
      </c>
      <c r="F11" s="77"/>
      <c r="G11" s="77">
        <f>IFERROR(G10*1000/230.9,"")</f>
        <v>1758.336942399307</v>
      </c>
      <c r="H11" s="77"/>
      <c r="I11" s="78">
        <f>IFERROR(I10*1000/230.9,"")</f>
        <v>1758.336942399307</v>
      </c>
      <c r="J11" s="79"/>
      <c r="K11" s="75"/>
      <c r="L11" s="3"/>
      <c r="M11" s="5"/>
      <c r="N11" s="1"/>
    </row>
    <row r="12" spans="1:14" ht="14.65" thickBot="1" x14ac:dyDescent="0.5">
      <c r="A12" s="1"/>
      <c r="C12" s="19" t="s">
        <v>14</v>
      </c>
      <c r="D12" s="82"/>
      <c r="E12" s="80">
        <f>E10+G10+I10</f>
        <v>1218</v>
      </c>
      <c r="F12" s="80"/>
      <c r="G12" s="80"/>
      <c r="H12" s="80"/>
      <c r="I12" s="80"/>
      <c r="J12" s="81"/>
      <c r="K12" s="5"/>
      <c r="L12" s="2"/>
      <c r="M12" s="5"/>
      <c r="N12" s="1"/>
    </row>
    <row r="14" spans="1:14" ht="14.65" thickBot="1" x14ac:dyDescent="0.5"/>
    <row r="15" spans="1:14" x14ac:dyDescent="0.45">
      <c r="A15" s="86" t="s">
        <v>43</v>
      </c>
      <c r="B15" s="84" t="s">
        <v>44</v>
      </c>
      <c r="C15" s="84" t="s">
        <v>45</v>
      </c>
      <c r="D15" s="89" t="s">
        <v>46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</row>
    <row r="16" spans="1:14" x14ac:dyDescent="0.45">
      <c r="A16" s="87" t="s">
        <v>47</v>
      </c>
      <c r="B16" s="83"/>
      <c r="C16" s="83"/>
      <c r="D16" s="90"/>
      <c r="E16" s="83"/>
      <c r="F16" s="83"/>
      <c r="G16" s="83"/>
      <c r="H16" s="83"/>
      <c r="I16" s="83"/>
      <c r="J16" s="83"/>
      <c r="K16" s="83"/>
      <c r="L16" s="83"/>
      <c r="M16" s="83"/>
      <c r="N16" s="83"/>
    </row>
    <row r="17" spans="1:14" x14ac:dyDescent="0.45">
      <c r="A17" s="87" t="s">
        <v>40</v>
      </c>
      <c r="B17" s="83">
        <v>0</v>
      </c>
      <c r="C17" s="83">
        <v>100</v>
      </c>
      <c r="D17" s="90">
        <v>0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</row>
    <row r="18" spans="1:14" x14ac:dyDescent="0.45">
      <c r="A18" s="87" t="s">
        <v>48</v>
      </c>
      <c r="B18" s="83"/>
      <c r="C18" s="83"/>
      <c r="D18" s="90"/>
      <c r="E18" s="83"/>
      <c r="F18" s="83"/>
      <c r="G18" s="83"/>
      <c r="H18" s="83"/>
      <c r="I18" s="83"/>
      <c r="J18" s="83"/>
      <c r="K18" s="83"/>
      <c r="L18" s="83"/>
      <c r="M18" s="83"/>
      <c r="N18" s="83"/>
    </row>
    <row r="19" spans="1:14" x14ac:dyDescent="0.45">
      <c r="A19" s="87" t="s">
        <v>39</v>
      </c>
      <c r="B19" s="83">
        <v>1157</v>
      </c>
      <c r="C19" s="83">
        <v>100</v>
      </c>
      <c r="D19" s="90">
        <v>1157</v>
      </c>
      <c r="E19" s="83"/>
      <c r="F19" s="83"/>
      <c r="G19" s="83"/>
      <c r="H19" s="83"/>
      <c r="I19" s="83"/>
      <c r="J19" s="83"/>
      <c r="K19" s="83"/>
      <c r="L19" s="83"/>
      <c r="M19" s="83"/>
      <c r="N19" s="83"/>
    </row>
    <row r="20" spans="1:14" x14ac:dyDescent="0.45">
      <c r="A20" s="87" t="s">
        <v>49</v>
      </c>
      <c r="B20" s="83"/>
      <c r="C20" s="83"/>
      <c r="D20" s="90"/>
      <c r="E20" s="83"/>
      <c r="F20" s="83"/>
      <c r="G20" s="83"/>
      <c r="H20" s="83"/>
      <c r="I20" s="83"/>
      <c r="J20" s="83"/>
      <c r="K20" s="83"/>
      <c r="L20" s="83"/>
      <c r="M20" s="83"/>
      <c r="N20" s="83"/>
    </row>
    <row r="21" spans="1:14" x14ac:dyDescent="0.45">
      <c r="A21" s="87" t="s">
        <v>34</v>
      </c>
      <c r="B21" s="83">
        <v>60.99</v>
      </c>
      <c r="C21" s="83">
        <v>100</v>
      </c>
      <c r="D21" s="90">
        <v>60.99</v>
      </c>
      <c r="E21" s="83"/>
      <c r="F21" s="83"/>
      <c r="G21" s="83"/>
      <c r="H21" s="83"/>
      <c r="I21" s="83"/>
      <c r="J21" s="83"/>
      <c r="K21" s="83"/>
      <c r="L21" s="83"/>
      <c r="M21" s="83"/>
      <c r="N21" s="83"/>
    </row>
    <row r="22" spans="1:14" ht="14.65" thickBot="1" x14ac:dyDescent="0.5">
      <c r="A22" s="88" t="s">
        <v>50</v>
      </c>
      <c r="B22" s="85"/>
      <c r="C22" s="85"/>
      <c r="D22" s="91">
        <v>1217.99</v>
      </c>
      <c r="E22" s="83"/>
      <c r="F22" s="83"/>
      <c r="G22" s="83"/>
      <c r="H22" s="83"/>
      <c r="I22" s="83"/>
      <c r="J22" s="83"/>
      <c r="K22" s="83"/>
      <c r="L22" s="83"/>
      <c r="M22" s="83"/>
      <c r="N22" s="83"/>
    </row>
  </sheetData>
  <mergeCells count="26">
    <mergeCell ref="C11:D11"/>
    <mergeCell ref="E11:F11"/>
    <mergeCell ref="G11:H11"/>
    <mergeCell ref="I11:J11"/>
    <mergeCell ref="C12:D12"/>
    <mergeCell ref="E12:J12"/>
    <mergeCell ref="E8:F8"/>
    <mergeCell ref="G9:H9"/>
    <mergeCell ref="C10:D10"/>
    <mergeCell ref="E10:F10"/>
    <mergeCell ref="G10:H10"/>
    <mergeCell ref="I10:J10"/>
    <mergeCell ref="G4:H4"/>
    <mergeCell ref="I4:J4"/>
    <mergeCell ref="E5:F5"/>
    <mergeCell ref="I5:J5"/>
    <mergeCell ref="E6:F6"/>
    <mergeCell ref="G7:H7"/>
    <mergeCell ref="I7:J7"/>
    <mergeCell ref="D1:E1"/>
    <mergeCell ref="F1:M1"/>
    <mergeCell ref="D2:E2"/>
    <mergeCell ref="F2:M2"/>
    <mergeCell ref="E3:F3"/>
    <mergeCell ref="G3:H3"/>
    <mergeCell ref="I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0637-18AF-4C17-9563-5867E974CFF0}">
  <dimension ref="A1:N20"/>
  <sheetViews>
    <sheetView workbookViewId="0">
      <selection sqref="A1:XFD1048576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9" t="s">
        <v>22</v>
      </c>
      <c r="B1" s="9" t="s">
        <v>28</v>
      </c>
      <c r="C1" s="9" t="s">
        <v>23</v>
      </c>
      <c r="D1" s="13" t="s">
        <v>24</v>
      </c>
      <c r="E1" s="14"/>
      <c r="F1" s="13" t="s">
        <v>25</v>
      </c>
      <c r="G1" s="15"/>
      <c r="H1" s="15"/>
      <c r="I1" s="15"/>
      <c r="J1" s="15"/>
      <c r="K1" s="15"/>
      <c r="L1" s="15"/>
      <c r="M1" s="14"/>
      <c r="N1" s="10" t="s">
        <v>26</v>
      </c>
    </row>
    <row r="2" spans="1:14" ht="31.5" customHeight="1" thickBot="1" x14ac:dyDescent="0.5">
      <c r="A2" s="12" t="s">
        <v>34</v>
      </c>
      <c r="B2" s="12" t="s">
        <v>30</v>
      </c>
      <c r="C2" s="12" t="s">
        <v>29</v>
      </c>
      <c r="D2" s="16" t="s">
        <v>36</v>
      </c>
      <c r="E2" s="17"/>
      <c r="F2" s="16" t="s">
        <v>51</v>
      </c>
      <c r="G2" s="18"/>
      <c r="H2" s="18"/>
      <c r="I2" s="18"/>
      <c r="J2" s="18"/>
      <c r="K2" s="18"/>
      <c r="L2" s="18"/>
      <c r="M2" s="17"/>
      <c r="N2" s="12" t="s">
        <v>27</v>
      </c>
    </row>
    <row r="3" spans="1:14" ht="54.75" customHeight="1" thickBot="1" x14ac:dyDescent="0.5">
      <c r="A3" s="6" t="s">
        <v>17</v>
      </c>
      <c r="B3" s="4" t="s">
        <v>18</v>
      </c>
      <c r="C3" s="4" t="s">
        <v>16</v>
      </c>
      <c r="D3" s="4" t="s">
        <v>15</v>
      </c>
      <c r="E3" s="20" t="s">
        <v>19</v>
      </c>
      <c r="F3" s="20"/>
      <c r="G3" s="20" t="s">
        <v>20</v>
      </c>
      <c r="H3" s="20"/>
      <c r="I3" s="20" t="s">
        <v>21</v>
      </c>
      <c r="J3" s="20"/>
      <c r="K3" s="4" t="s">
        <v>15</v>
      </c>
      <c r="L3" s="7" t="s">
        <v>16</v>
      </c>
      <c r="M3" s="4" t="s">
        <v>18</v>
      </c>
      <c r="N3" s="8" t="s">
        <v>17</v>
      </c>
    </row>
    <row r="4" spans="1:14" ht="15.75" x14ac:dyDescent="0.45">
      <c r="A4" s="30"/>
      <c r="B4" s="26"/>
      <c r="C4" s="27"/>
      <c r="D4" s="33" t="s">
        <v>0</v>
      </c>
      <c r="E4" s="56">
        <v>12.43</v>
      </c>
      <c r="F4" s="57">
        <v>7.9</v>
      </c>
      <c r="G4" s="52"/>
      <c r="H4" s="52"/>
      <c r="I4" s="52"/>
      <c r="J4" s="53"/>
      <c r="K4" s="37" t="s">
        <v>1</v>
      </c>
      <c r="L4" s="36"/>
      <c r="M4" s="36"/>
      <c r="N4" s="40"/>
    </row>
    <row r="5" spans="1:14" ht="15.75" x14ac:dyDescent="0.45">
      <c r="A5" s="31" t="s">
        <v>52</v>
      </c>
      <c r="B5" s="21" t="s">
        <v>53</v>
      </c>
      <c r="C5" s="22" t="s">
        <v>54</v>
      </c>
      <c r="D5" s="34" t="s">
        <v>2</v>
      </c>
      <c r="E5" s="49"/>
      <c r="F5" s="23"/>
      <c r="G5" s="58">
        <v>12.43</v>
      </c>
      <c r="H5" s="59">
        <v>7.9</v>
      </c>
      <c r="I5" s="24"/>
      <c r="J5" s="24"/>
      <c r="K5" s="38" t="s">
        <v>3</v>
      </c>
      <c r="L5" s="21" t="s">
        <v>55</v>
      </c>
      <c r="M5" s="21" t="s">
        <v>35</v>
      </c>
      <c r="N5" s="41" t="s">
        <v>56</v>
      </c>
    </row>
    <row r="6" spans="1:14" ht="16.149999999999999" thickBot="1" x14ac:dyDescent="0.5">
      <c r="A6" s="32"/>
      <c r="B6" s="28"/>
      <c r="C6" s="29"/>
      <c r="D6" s="35" t="s">
        <v>4</v>
      </c>
      <c r="E6" s="50"/>
      <c r="F6" s="24"/>
      <c r="G6" s="25"/>
      <c r="H6" s="25"/>
      <c r="I6" s="60">
        <v>12.43</v>
      </c>
      <c r="J6" s="61">
        <v>7.9</v>
      </c>
      <c r="K6" s="39" t="s">
        <v>5</v>
      </c>
      <c r="L6" s="28"/>
      <c r="M6" s="28"/>
      <c r="N6" s="42"/>
    </row>
    <row r="7" spans="1:14" ht="16.149999999999999" thickBot="1" x14ac:dyDescent="0.5">
      <c r="A7" s="45" t="s">
        <v>40</v>
      </c>
      <c r="B7" s="43"/>
      <c r="C7" s="44" t="s">
        <v>41</v>
      </c>
      <c r="D7" s="46" t="s">
        <v>6</v>
      </c>
      <c r="E7" s="62"/>
      <c r="F7" s="63"/>
      <c r="G7" s="24"/>
      <c r="H7" s="24"/>
      <c r="I7" s="24"/>
      <c r="J7" s="24"/>
      <c r="K7" s="47" t="s">
        <v>7</v>
      </c>
      <c r="L7" s="43"/>
      <c r="M7" s="43"/>
      <c r="N7" s="48" t="s">
        <v>42</v>
      </c>
    </row>
    <row r="8" spans="1:14" ht="16.149999999999999" thickBot="1" x14ac:dyDescent="0.5">
      <c r="A8" s="45" t="s">
        <v>42</v>
      </c>
      <c r="B8" s="43"/>
      <c r="C8" s="44"/>
      <c r="D8" s="46" t="s">
        <v>8</v>
      </c>
      <c r="E8" s="50"/>
      <c r="F8" s="24"/>
      <c r="G8" s="60"/>
      <c r="H8" s="63"/>
      <c r="I8" s="25"/>
      <c r="J8" s="25"/>
      <c r="K8" s="47" t="s">
        <v>9</v>
      </c>
      <c r="L8" s="43"/>
      <c r="M8" s="43"/>
      <c r="N8" s="48" t="s">
        <v>42</v>
      </c>
    </row>
    <row r="9" spans="1:14" ht="16.149999999999999" thickBot="1" x14ac:dyDescent="0.5">
      <c r="A9" s="45" t="s">
        <v>42</v>
      </c>
      <c r="B9" s="43"/>
      <c r="C9" s="44"/>
      <c r="D9" s="46" t="s">
        <v>10</v>
      </c>
      <c r="E9" s="54"/>
      <c r="F9" s="11"/>
      <c r="G9" s="55"/>
      <c r="H9" s="55"/>
      <c r="I9" s="64"/>
      <c r="J9" s="65"/>
      <c r="K9" s="47" t="s">
        <v>11</v>
      </c>
      <c r="L9" s="43"/>
      <c r="M9" s="43"/>
      <c r="N9" s="48" t="s">
        <v>42</v>
      </c>
    </row>
    <row r="10" spans="1:14" x14ac:dyDescent="0.45">
      <c r="A10" s="1"/>
      <c r="C10" s="66" t="s">
        <v>13</v>
      </c>
      <c r="D10" s="67"/>
      <c r="E10" s="68">
        <f>SUM(E4:F9)</f>
        <v>20.329999999999998</v>
      </c>
      <c r="F10" s="69"/>
      <c r="G10" s="69">
        <f>SUM(G4:H9)</f>
        <v>20.329999999999998</v>
      </c>
      <c r="H10" s="69"/>
      <c r="I10" s="70">
        <f>SUM(I4:J9)</f>
        <v>20.329999999999998</v>
      </c>
      <c r="J10" s="71"/>
      <c r="K10" s="72"/>
      <c r="L10" s="2"/>
      <c r="M10" s="5"/>
      <c r="N10" s="1"/>
    </row>
    <row r="11" spans="1:14" ht="14.65" thickBot="1" x14ac:dyDescent="0.5">
      <c r="A11" s="1"/>
      <c r="C11" s="73" t="s">
        <v>12</v>
      </c>
      <c r="D11" s="74"/>
      <c r="E11" s="76">
        <f>IFERROR(E10*1000/230.9,"")</f>
        <v>88.046773495019494</v>
      </c>
      <c r="F11" s="77"/>
      <c r="G11" s="77">
        <f>IFERROR(G10*1000/230.9,"")</f>
        <v>88.046773495019494</v>
      </c>
      <c r="H11" s="77"/>
      <c r="I11" s="78">
        <f>IFERROR(I10*1000/230.9,"")</f>
        <v>88.046773495019494</v>
      </c>
      <c r="J11" s="79"/>
      <c r="K11" s="75"/>
      <c r="L11" s="3"/>
      <c r="M11" s="5"/>
      <c r="N11" s="1"/>
    </row>
    <row r="12" spans="1:14" ht="14.65" thickBot="1" x14ac:dyDescent="0.5">
      <c r="A12" s="1"/>
      <c r="C12" s="19" t="s">
        <v>14</v>
      </c>
      <c r="D12" s="82"/>
      <c r="E12" s="80">
        <f>E10+G10+I10</f>
        <v>60.989999999999995</v>
      </c>
      <c r="F12" s="80"/>
      <c r="G12" s="80"/>
      <c r="H12" s="80"/>
      <c r="I12" s="80"/>
      <c r="J12" s="81"/>
      <c r="K12" s="5"/>
      <c r="L12" s="2"/>
      <c r="M12" s="5"/>
      <c r="N12" s="1"/>
    </row>
    <row r="14" spans="1:14" ht="14.65" thickBot="1" x14ac:dyDescent="0.5"/>
    <row r="15" spans="1:14" x14ac:dyDescent="0.45">
      <c r="A15" s="86" t="s">
        <v>43</v>
      </c>
      <c r="B15" s="84" t="s">
        <v>44</v>
      </c>
      <c r="C15" s="84" t="s">
        <v>45</v>
      </c>
      <c r="D15" s="89" t="s">
        <v>46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</row>
    <row r="16" spans="1:14" x14ac:dyDescent="0.45">
      <c r="A16" s="87" t="s">
        <v>57</v>
      </c>
      <c r="B16" s="83"/>
      <c r="C16" s="83"/>
      <c r="D16" s="90"/>
      <c r="E16" s="83"/>
      <c r="F16" s="83"/>
      <c r="G16" s="83"/>
      <c r="H16" s="83"/>
      <c r="I16" s="83"/>
      <c r="J16" s="83"/>
      <c r="K16" s="83"/>
      <c r="L16" s="83"/>
      <c r="M16" s="83"/>
      <c r="N16" s="83"/>
    </row>
    <row r="17" spans="1:14" x14ac:dyDescent="0.45">
      <c r="A17" s="87" t="s">
        <v>52</v>
      </c>
      <c r="B17" s="83">
        <v>37.299999999999997</v>
      </c>
      <c r="C17" s="83">
        <v>100</v>
      </c>
      <c r="D17" s="90">
        <v>37.299999999999997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</row>
    <row r="18" spans="1:14" x14ac:dyDescent="0.45">
      <c r="A18" s="87" t="s">
        <v>49</v>
      </c>
      <c r="B18" s="83"/>
      <c r="C18" s="83"/>
      <c r="D18" s="90"/>
      <c r="E18" s="83"/>
      <c r="F18" s="83"/>
      <c r="G18" s="83"/>
      <c r="H18" s="83"/>
      <c r="I18" s="83"/>
      <c r="J18" s="83"/>
      <c r="K18" s="83"/>
      <c r="L18" s="83"/>
      <c r="M18" s="83"/>
      <c r="N18" s="83"/>
    </row>
    <row r="19" spans="1:14" x14ac:dyDescent="0.45">
      <c r="A19" s="87" t="s">
        <v>56</v>
      </c>
      <c r="B19" s="83">
        <v>23.69</v>
      </c>
      <c r="C19" s="83">
        <v>100</v>
      </c>
      <c r="D19" s="90">
        <v>23.69</v>
      </c>
      <c r="E19" s="83"/>
      <c r="F19" s="83"/>
      <c r="G19" s="83"/>
      <c r="H19" s="83"/>
      <c r="I19" s="83"/>
      <c r="J19" s="83"/>
      <c r="K19" s="83"/>
      <c r="L19" s="83"/>
      <c r="M19" s="83"/>
      <c r="N19" s="83"/>
    </row>
    <row r="20" spans="1:14" ht="14.65" thickBot="1" x14ac:dyDescent="0.5">
      <c r="A20" s="88" t="s">
        <v>50</v>
      </c>
      <c r="B20" s="85"/>
      <c r="C20" s="85"/>
      <c r="D20" s="91">
        <v>60.99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</row>
  </sheetData>
  <mergeCells count="26">
    <mergeCell ref="C11:D11"/>
    <mergeCell ref="E11:F11"/>
    <mergeCell ref="G11:H11"/>
    <mergeCell ref="I11:J11"/>
    <mergeCell ref="C12:D12"/>
    <mergeCell ref="E12:J12"/>
    <mergeCell ref="E8:F8"/>
    <mergeCell ref="G9:H9"/>
    <mergeCell ref="C10:D10"/>
    <mergeCell ref="E10:F10"/>
    <mergeCell ref="G10:H10"/>
    <mergeCell ref="I10:J10"/>
    <mergeCell ref="G4:H4"/>
    <mergeCell ref="I4:J4"/>
    <mergeCell ref="E5:F5"/>
    <mergeCell ref="I5:J5"/>
    <mergeCell ref="E6:F6"/>
    <mergeCell ref="G7:H7"/>
    <mergeCell ref="I7:J7"/>
    <mergeCell ref="D1:E1"/>
    <mergeCell ref="F1:M1"/>
    <mergeCell ref="D2:E2"/>
    <mergeCell ref="F2:M2"/>
    <mergeCell ref="E3:F3"/>
    <mergeCell ref="G3:H3"/>
    <mergeCell ref="I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53DC-E01B-46E6-8BA6-10BF555244F8}">
  <dimension ref="A1:N19"/>
  <sheetViews>
    <sheetView workbookViewId="0">
      <selection sqref="A1:XFD1048576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9" t="s">
        <v>22</v>
      </c>
      <c r="B1" s="9" t="s">
        <v>28</v>
      </c>
      <c r="C1" s="9" t="s">
        <v>23</v>
      </c>
      <c r="D1" s="13" t="s">
        <v>24</v>
      </c>
      <c r="E1" s="14"/>
      <c r="F1" s="13" t="s">
        <v>25</v>
      </c>
      <c r="G1" s="15"/>
      <c r="H1" s="15"/>
      <c r="I1" s="15"/>
      <c r="J1" s="15"/>
      <c r="K1" s="15"/>
      <c r="L1" s="15"/>
      <c r="M1" s="14"/>
      <c r="N1" s="10" t="s">
        <v>26</v>
      </c>
    </row>
    <row r="2" spans="1:14" ht="31.5" customHeight="1" thickBot="1" x14ac:dyDescent="0.5">
      <c r="A2" s="12" t="s">
        <v>56</v>
      </c>
      <c r="B2" s="12" t="s">
        <v>30</v>
      </c>
      <c r="C2" s="12" t="s">
        <v>29</v>
      </c>
      <c r="D2" s="16" t="s">
        <v>55</v>
      </c>
      <c r="E2" s="17"/>
      <c r="F2" s="16" t="s">
        <v>51</v>
      </c>
      <c r="G2" s="18"/>
      <c r="H2" s="18"/>
      <c r="I2" s="18"/>
      <c r="J2" s="18"/>
      <c r="K2" s="18"/>
      <c r="L2" s="18"/>
      <c r="M2" s="17"/>
      <c r="N2" s="12" t="s">
        <v>34</v>
      </c>
    </row>
    <row r="3" spans="1:14" ht="54.75" customHeight="1" thickBot="1" x14ac:dyDescent="0.5">
      <c r="A3" s="6" t="s">
        <v>17</v>
      </c>
      <c r="B3" s="4" t="s">
        <v>18</v>
      </c>
      <c r="C3" s="4" t="s">
        <v>16</v>
      </c>
      <c r="D3" s="4" t="s">
        <v>15</v>
      </c>
      <c r="E3" s="20" t="s">
        <v>19</v>
      </c>
      <c r="F3" s="20"/>
      <c r="G3" s="20" t="s">
        <v>20</v>
      </c>
      <c r="H3" s="20"/>
      <c r="I3" s="20" t="s">
        <v>21</v>
      </c>
      <c r="J3" s="20"/>
      <c r="K3" s="4" t="s">
        <v>15</v>
      </c>
      <c r="L3" s="7" t="s">
        <v>16</v>
      </c>
      <c r="M3" s="4" t="s">
        <v>18</v>
      </c>
      <c r="N3" s="8" t="s">
        <v>17</v>
      </c>
    </row>
    <row r="4" spans="1:14" ht="15.75" x14ac:dyDescent="0.45">
      <c r="A4" s="30"/>
      <c r="B4" s="26"/>
      <c r="C4" s="27"/>
      <c r="D4" s="33" t="s">
        <v>0</v>
      </c>
      <c r="E4" s="56">
        <v>2.67</v>
      </c>
      <c r="F4" s="57">
        <v>5.23</v>
      </c>
      <c r="G4" s="52"/>
      <c r="H4" s="52"/>
      <c r="I4" s="52"/>
      <c r="J4" s="53"/>
      <c r="K4" s="37" t="s">
        <v>1</v>
      </c>
      <c r="L4" s="36"/>
      <c r="M4" s="36"/>
      <c r="N4" s="40"/>
    </row>
    <row r="5" spans="1:14" ht="15.75" x14ac:dyDescent="0.45">
      <c r="A5" s="31" t="s">
        <v>58</v>
      </c>
      <c r="B5" s="21" t="s">
        <v>59</v>
      </c>
      <c r="C5" s="22" t="s">
        <v>60</v>
      </c>
      <c r="D5" s="34" t="s">
        <v>2</v>
      </c>
      <c r="E5" s="49"/>
      <c r="F5" s="23"/>
      <c r="G5" s="58">
        <v>2.67</v>
      </c>
      <c r="H5" s="59">
        <v>5.23</v>
      </c>
      <c r="I5" s="24"/>
      <c r="J5" s="24"/>
      <c r="K5" s="38" t="s">
        <v>3</v>
      </c>
      <c r="L5" s="21" t="s">
        <v>61</v>
      </c>
      <c r="M5" s="21" t="s">
        <v>59</v>
      </c>
      <c r="N5" s="41" t="s">
        <v>62</v>
      </c>
    </row>
    <row r="6" spans="1:14" ht="16.149999999999999" thickBot="1" x14ac:dyDescent="0.5">
      <c r="A6" s="32"/>
      <c r="B6" s="28"/>
      <c r="C6" s="29"/>
      <c r="D6" s="35" t="s">
        <v>4</v>
      </c>
      <c r="E6" s="50"/>
      <c r="F6" s="24"/>
      <c r="G6" s="25"/>
      <c r="H6" s="25"/>
      <c r="I6" s="60">
        <v>2.67</v>
      </c>
      <c r="J6" s="61">
        <v>5.23</v>
      </c>
      <c r="K6" s="39" t="s">
        <v>5</v>
      </c>
      <c r="L6" s="28"/>
      <c r="M6" s="28"/>
      <c r="N6" s="42"/>
    </row>
    <row r="7" spans="1:14" ht="16.149999999999999" thickBot="1" x14ac:dyDescent="0.5">
      <c r="A7" s="45" t="s">
        <v>40</v>
      </c>
      <c r="B7" s="43"/>
      <c r="C7" s="44" t="s">
        <v>41</v>
      </c>
      <c r="D7" s="46" t="s">
        <v>6</v>
      </c>
      <c r="E7" s="62"/>
      <c r="F7" s="63"/>
      <c r="G7" s="24"/>
      <c r="H7" s="24"/>
      <c r="I7" s="24"/>
      <c r="J7" s="24"/>
      <c r="K7" s="47" t="s">
        <v>7</v>
      </c>
      <c r="L7" s="43"/>
      <c r="M7" s="43"/>
      <c r="N7" s="48" t="s">
        <v>42</v>
      </c>
    </row>
    <row r="8" spans="1:14" ht="16.149999999999999" thickBot="1" x14ac:dyDescent="0.5">
      <c r="A8" s="45" t="s">
        <v>42</v>
      </c>
      <c r="B8" s="43"/>
      <c r="C8" s="44"/>
      <c r="D8" s="46" t="s">
        <v>8</v>
      </c>
      <c r="E8" s="50"/>
      <c r="F8" s="24"/>
      <c r="G8" s="60"/>
      <c r="H8" s="63"/>
      <c r="I8" s="25"/>
      <c r="J8" s="25"/>
      <c r="K8" s="47" t="s">
        <v>9</v>
      </c>
      <c r="L8" s="43"/>
      <c r="M8" s="43"/>
      <c r="N8" s="48" t="s">
        <v>42</v>
      </c>
    </row>
    <row r="9" spans="1:14" ht="16.149999999999999" thickBot="1" x14ac:dyDescent="0.5">
      <c r="A9" s="45" t="s">
        <v>42</v>
      </c>
      <c r="B9" s="43"/>
      <c r="C9" s="44"/>
      <c r="D9" s="46" t="s">
        <v>10</v>
      </c>
      <c r="E9" s="54"/>
      <c r="F9" s="11"/>
      <c r="G9" s="55"/>
      <c r="H9" s="55"/>
      <c r="I9" s="64"/>
      <c r="J9" s="65"/>
      <c r="K9" s="47" t="s">
        <v>11</v>
      </c>
      <c r="L9" s="43"/>
      <c r="M9" s="43"/>
      <c r="N9" s="48" t="s">
        <v>42</v>
      </c>
    </row>
    <row r="10" spans="1:14" x14ac:dyDescent="0.45">
      <c r="A10" s="1"/>
      <c r="C10" s="66" t="s">
        <v>13</v>
      </c>
      <c r="D10" s="67"/>
      <c r="E10" s="68">
        <f>SUM(E4:F9)</f>
        <v>7.9</v>
      </c>
      <c r="F10" s="69"/>
      <c r="G10" s="69">
        <f>SUM(G4:H9)</f>
        <v>7.9</v>
      </c>
      <c r="H10" s="69"/>
      <c r="I10" s="70">
        <f>SUM(I4:J9)</f>
        <v>7.9</v>
      </c>
      <c r="J10" s="71"/>
      <c r="K10" s="72"/>
      <c r="L10" s="2"/>
      <c r="M10" s="5"/>
      <c r="N10" s="1"/>
    </row>
    <row r="11" spans="1:14" ht="14.65" thickBot="1" x14ac:dyDescent="0.5">
      <c r="A11" s="1"/>
      <c r="C11" s="73" t="s">
        <v>12</v>
      </c>
      <c r="D11" s="74"/>
      <c r="E11" s="76">
        <f>IFERROR(E10*1000/230.9,"")</f>
        <v>34.213945430922479</v>
      </c>
      <c r="F11" s="77"/>
      <c r="G11" s="77">
        <f>IFERROR(G10*1000/230.9,"")</f>
        <v>34.213945430922479</v>
      </c>
      <c r="H11" s="77"/>
      <c r="I11" s="78">
        <f>IFERROR(I10*1000/230.9,"")</f>
        <v>34.213945430922479</v>
      </c>
      <c r="J11" s="79"/>
      <c r="K11" s="75"/>
      <c r="L11" s="3"/>
      <c r="M11" s="5"/>
      <c r="N11" s="1"/>
    </row>
    <row r="12" spans="1:14" ht="14.65" thickBot="1" x14ac:dyDescent="0.5">
      <c r="A12" s="1"/>
      <c r="C12" s="19" t="s">
        <v>14</v>
      </c>
      <c r="D12" s="82"/>
      <c r="E12" s="80">
        <f>E10+G10+I10</f>
        <v>23.700000000000003</v>
      </c>
      <c r="F12" s="80"/>
      <c r="G12" s="80"/>
      <c r="H12" s="80"/>
      <c r="I12" s="80"/>
      <c r="J12" s="81"/>
      <c r="K12" s="5"/>
      <c r="L12" s="2"/>
      <c r="M12" s="5"/>
      <c r="N12" s="1"/>
    </row>
    <row r="14" spans="1:14" ht="14.65" thickBot="1" x14ac:dyDescent="0.5"/>
    <row r="15" spans="1:14" x14ac:dyDescent="0.45">
      <c r="A15" s="86" t="s">
        <v>43</v>
      </c>
      <c r="B15" s="84" t="s">
        <v>44</v>
      </c>
      <c r="C15" s="84" t="s">
        <v>45</v>
      </c>
      <c r="D15" s="89" t="s">
        <v>46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</row>
    <row r="16" spans="1:14" x14ac:dyDescent="0.45">
      <c r="A16" s="87" t="s">
        <v>49</v>
      </c>
      <c r="B16" s="83"/>
      <c r="C16" s="83"/>
      <c r="D16" s="90"/>
      <c r="E16" s="83"/>
      <c r="F16" s="83"/>
      <c r="G16" s="83"/>
      <c r="H16" s="83"/>
      <c r="I16" s="83"/>
      <c r="J16" s="83"/>
      <c r="K16" s="83"/>
      <c r="L16" s="83"/>
      <c r="M16" s="83"/>
      <c r="N16" s="83"/>
    </row>
    <row r="17" spans="1:14" x14ac:dyDescent="0.45">
      <c r="A17" s="87" t="s">
        <v>62</v>
      </c>
      <c r="B17" s="83">
        <v>15.69</v>
      </c>
      <c r="C17" s="83">
        <v>100</v>
      </c>
      <c r="D17" s="90">
        <v>15.69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</row>
    <row r="18" spans="1:14" x14ac:dyDescent="0.45">
      <c r="A18" s="87" t="s">
        <v>58</v>
      </c>
      <c r="B18" s="83">
        <v>8</v>
      </c>
      <c r="C18" s="83">
        <v>100</v>
      </c>
      <c r="D18" s="90">
        <v>8</v>
      </c>
      <c r="E18" s="83"/>
      <c r="F18" s="83"/>
      <c r="G18" s="83"/>
      <c r="H18" s="83"/>
      <c r="I18" s="83"/>
      <c r="J18" s="83"/>
      <c r="K18" s="83"/>
      <c r="L18" s="83"/>
      <c r="M18" s="83"/>
      <c r="N18" s="83"/>
    </row>
    <row r="19" spans="1:14" ht="14.65" thickBot="1" x14ac:dyDescent="0.5">
      <c r="A19" s="88" t="s">
        <v>50</v>
      </c>
      <c r="B19" s="85"/>
      <c r="C19" s="85"/>
      <c r="D19" s="91">
        <v>23.69</v>
      </c>
      <c r="E19" s="83"/>
      <c r="F19" s="83"/>
      <c r="G19" s="83"/>
      <c r="H19" s="83"/>
      <c r="I19" s="83"/>
      <c r="J19" s="83"/>
      <c r="K19" s="83"/>
      <c r="L19" s="83"/>
      <c r="M19" s="83"/>
      <c r="N19" s="83"/>
    </row>
  </sheetData>
  <mergeCells count="26">
    <mergeCell ref="C11:D11"/>
    <mergeCell ref="E11:F11"/>
    <mergeCell ref="G11:H11"/>
    <mergeCell ref="I11:J11"/>
    <mergeCell ref="C12:D12"/>
    <mergeCell ref="E12:J12"/>
    <mergeCell ref="E8:F8"/>
    <mergeCell ref="G9:H9"/>
    <mergeCell ref="C10:D10"/>
    <mergeCell ref="E10:F10"/>
    <mergeCell ref="G10:H10"/>
    <mergeCell ref="I10:J10"/>
    <mergeCell ref="G4:H4"/>
    <mergeCell ref="I4:J4"/>
    <mergeCell ref="E5:F5"/>
    <mergeCell ref="I5:J5"/>
    <mergeCell ref="E6:F6"/>
    <mergeCell ref="G7:H7"/>
    <mergeCell ref="I7:J7"/>
    <mergeCell ref="D1:E1"/>
    <mergeCell ref="F1:M1"/>
    <mergeCell ref="D2:E2"/>
    <mergeCell ref="F2:M2"/>
    <mergeCell ref="E3:F3"/>
    <mergeCell ref="G3:H3"/>
    <mergeCell ref="I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96F9-EFEE-41A4-8BC5-473969A7456C}">
  <dimension ref="A1:N18"/>
  <sheetViews>
    <sheetView workbookViewId="0">
      <selection sqref="A1:XFD1048576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9" t="s">
        <v>22</v>
      </c>
      <c r="B1" s="9" t="s">
        <v>28</v>
      </c>
      <c r="C1" s="9" t="s">
        <v>23</v>
      </c>
      <c r="D1" s="13" t="s">
        <v>24</v>
      </c>
      <c r="E1" s="14"/>
      <c r="F1" s="13" t="s">
        <v>25</v>
      </c>
      <c r="G1" s="15"/>
      <c r="H1" s="15"/>
      <c r="I1" s="15"/>
      <c r="J1" s="15"/>
      <c r="K1" s="15"/>
      <c r="L1" s="15"/>
      <c r="M1" s="14"/>
      <c r="N1" s="10" t="s">
        <v>26</v>
      </c>
    </row>
    <row r="2" spans="1:14" ht="31.5" customHeight="1" thickBot="1" x14ac:dyDescent="0.5">
      <c r="A2" s="12" t="s">
        <v>58</v>
      </c>
      <c r="B2" s="12" t="s">
        <v>30</v>
      </c>
      <c r="C2" s="12" t="s">
        <v>63</v>
      </c>
      <c r="D2" s="16" t="s">
        <v>60</v>
      </c>
      <c r="E2" s="17"/>
      <c r="F2" s="16" t="s">
        <v>64</v>
      </c>
      <c r="G2" s="18"/>
      <c r="H2" s="18"/>
      <c r="I2" s="18"/>
      <c r="J2" s="18"/>
      <c r="K2" s="18"/>
      <c r="L2" s="18"/>
      <c r="M2" s="17"/>
      <c r="N2" s="12" t="s">
        <v>56</v>
      </c>
    </row>
    <row r="3" spans="1:14" ht="54.75" customHeight="1" thickBot="1" x14ac:dyDescent="0.5">
      <c r="A3" s="6" t="s">
        <v>17</v>
      </c>
      <c r="B3" s="4" t="s">
        <v>18</v>
      </c>
      <c r="C3" s="4" t="s">
        <v>16</v>
      </c>
      <c r="D3" s="4" t="s">
        <v>15</v>
      </c>
      <c r="E3" s="20" t="s">
        <v>19</v>
      </c>
      <c r="F3" s="20"/>
      <c r="G3" s="20" t="s">
        <v>20</v>
      </c>
      <c r="H3" s="20"/>
      <c r="I3" s="20" t="s">
        <v>21</v>
      </c>
      <c r="J3" s="20"/>
      <c r="K3" s="4" t="s">
        <v>15</v>
      </c>
      <c r="L3" s="7" t="s">
        <v>16</v>
      </c>
      <c r="M3" s="4" t="s">
        <v>18</v>
      </c>
      <c r="N3" s="8" t="s">
        <v>17</v>
      </c>
    </row>
    <row r="4" spans="1:14" ht="16.149999999999999" thickBot="1" x14ac:dyDescent="0.5">
      <c r="A4" s="30"/>
      <c r="B4" s="26"/>
      <c r="C4" s="27"/>
      <c r="D4" s="33" t="s">
        <v>0</v>
      </c>
      <c r="E4" s="56">
        <v>2.67</v>
      </c>
      <c r="F4" s="57"/>
      <c r="G4" s="52"/>
      <c r="H4" s="52"/>
      <c r="I4" s="52"/>
      <c r="J4" s="53"/>
      <c r="K4" s="93" t="s">
        <v>1</v>
      </c>
      <c r="L4" s="92" t="s">
        <v>41</v>
      </c>
      <c r="M4" s="92"/>
      <c r="N4" s="94" t="s">
        <v>40</v>
      </c>
    </row>
    <row r="5" spans="1:14" ht="16.149999999999999" thickBot="1" x14ac:dyDescent="0.5">
      <c r="A5" s="31" t="s">
        <v>65</v>
      </c>
      <c r="B5" s="21" t="s">
        <v>66</v>
      </c>
      <c r="C5" s="22" t="s">
        <v>60</v>
      </c>
      <c r="D5" s="34" t="s">
        <v>2</v>
      </c>
      <c r="E5" s="49"/>
      <c r="F5" s="23"/>
      <c r="G5" s="58">
        <v>2.67</v>
      </c>
      <c r="H5" s="59"/>
      <c r="I5" s="24"/>
      <c r="J5" s="24"/>
      <c r="K5" s="47" t="s">
        <v>3</v>
      </c>
      <c r="L5" s="43"/>
      <c r="M5" s="43"/>
      <c r="N5" s="48" t="s">
        <v>42</v>
      </c>
    </row>
    <row r="6" spans="1:14" ht="16.149999999999999" thickBot="1" x14ac:dyDescent="0.5">
      <c r="A6" s="32"/>
      <c r="B6" s="28"/>
      <c r="C6" s="29"/>
      <c r="D6" s="35" t="s">
        <v>4</v>
      </c>
      <c r="E6" s="50"/>
      <c r="F6" s="24"/>
      <c r="G6" s="25"/>
      <c r="H6" s="25"/>
      <c r="I6" s="60">
        <v>2.67</v>
      </c>
      <c r="J6" s="61"/>
      <c r="K6" s="47" t="s">
        <v>5</v>
      </c>
      <c r="L6" s="43"/>
      <c r="M6" s="43"/>
      <c r="N6" s="48" t="s">
        <v>42</v>
      </c>
    </row>
    <row r="7" spans="1:14" ht="16.149999999999999" thickBot="1" x14ac:dyDescent="0.5">
      <c r="A7" s="45" t="s">
        <v>42</v>
      </c>
      <c r="B7" s="43"/>
      <c r="C7" s="44"/>
      <c r="D7" s="46" t="s">
        <v>6</v>
      </c>
      <c r="E7" s="62"/>
      <c r="F7" s="63"/>
      <c r="G7" s="24"/>
      <c r="H7" s="24"/>
      <c r="I7" s="24"/>
      <c r="J7" s="24"/>
      <c r="K7" s="47" t="s">
        <v>7</v>
      </c>
      <c r="L7" s="43"/>
      <c r="M7" s="43"/>
      <c r="N7" s="48" t="s">
        <v>42</v>
      </c>
    </row>
    <row r="8" spans="1:14" ht="16.149999999999999" thickBot="1" x14ac:dyDescent="0.5">
      <c r="A8" s="45" t="s">
        <v>42</v>
      </c>
      <c r="B8" s="43"/>
      <c r="C8" s="44"/>
      <c r="D8" s="46" t="s">
        <v>8</v>
      </c>
      <c r="E8" s="50"/>
      <c r="F8" s="24"/>
      <c r="G8" s="60"/>
      <c r="H8" s="63"/>
      <c r="I8" s="25"/>
      <c r="J8" s="25"/>
      <c r="K8" s="47" t="s">
        <v>9</v>
      </c>
      <c r="L8" s="43"/>
      <c r="M8" s="43"/>
      <c r="N8" s="48" t="s">
        <v>42</v>
      </c>
    </row>
    <row r="9" spans="1:14" ht="16.149999999999999" thickBot="1" x14ac:dyDescent="0.5">
      <c r="A9" s="45" t="s">
        <v>42</v>
      </c>
      <c r="B9" s="43"/>
      <c r="C9" s="44"/>
      <c r="D9" s="46" t="s">
        <v>10</v>
      </c>
      <c r="E9" s="54"/>
      <c r="F9" s="11"/>
      <c r="G9" s="55"/>
      <c r="H9" s="55"/>
      <c r="I9" s="64"/>
      <c r="J9" s="65"/>
      <c r="K9" s="47" t="s">
        <v>11</v>
      </c>
      <c r="L9" s="43"/>
      <c r="M9" s="43"/>
      <c r="N9" s="48" t="s">
        <v>42</v>
      </c>
    </row>
    <row r="10" spans="1:14" x14ac:dyDescent="0.45">
      <c r="A10" s="1"/>
      <c r="C10" s="66" t="s">
        <v>13</v>
      </c>
      <c r="D10" s="67"/>
      <c r="E10" s="68">
        <f>SUM(E4:F9)</f>
        <v>2.67</v>
      </c>
      <c r="F10" s="69"/>
      <c r="G10" s="69">
        <f>SUM(G4:H9)</f>
        <v>2.67</v>
      </c>
      <c r="H10" s="69"/>
      <c r="I10" s="70">
        <f>SUM(I4:J9)</f>
        <v>2.67</v>
      </c>
      <c r="J10" s="71"/>
      <c r="K10" s="72"/>
      <c r="L10" s="2"/>
      <c r="M10" s="5"/>
      <c r="N10" s="1"/>
    </row>
    <row r="11" spans="1:14" ht="14.65" thickBot="1" x14ac:dyDescent="0.5">
      <c r="A11" s="1"/>
      <c r="C11" s="73" t="s">
        <v>12</v>
      </c>
      <c r="D11" s="74"/>
      <c r="E11" s="76">
        <f>IFERROR(E10*1000/230.9,"")</f>
        <v>11.563447379818102</v>
      </c>
      <c r="F11" s="77"/>
      <c r="G11" s="77">
        <f>IFERROR(G10*1000/230.9,"")</f>
        <v>11.563447379818102</v>
      </c>
      <c r="H11" s="77"/>
      <c r="I11" s="78">
        <f>IFERROR(I10*1000/230.9,"")</f>
        <v>11.563447379818102</v>
      </c>
      <c r="J11" s="79"/>
      <c r="K11" s="75"/>
      <c r="L11" s="3"/>
      <c r="M11" s="5"/>
      <c r="N11" s="1"/>
    </row>
    <row r="12" spans="1:14" ht="14.65" thickBot="1" x14ac:dyDescent="0.5">
      <c r="A12" s="1"/>
      <c r="C12" s="19" t="s">
        <v>14</v>
      </c>
      <c r="D12" s="82"/>
      <c r="E12" s="80">
        <f>E10+G10+I10</f>
        <v>8.01</v>
      </c>
      <c r="F12" s="80"/>
      <c r="G12" s="80"/>
      <c r="H12" s="80"/>
      <c r="I12" s="80"/>
      <c r="J12" s="81"/>
      <c r="K12" s="5"/>
      <c r="L12" s="2"/>
      <c r="M12" s="5"/>
      <c r="N12" s="1"/>
    </row>
    <row r="14" spans="1:14" ht="14.65" thickBot="1" x14ac:dyDescent="0.5"/>
    <row r="15" spans="1:14" x14ac:dyDescent="0.45">
      <c r="A15" s="86" t="s">
        <v>43</v>
      </c>
      <c r="B15" s="84" t="s">
        <v>44</v>
      </c>
      <c r="C15" s="84" t="s">
        <v>45</v>
      </c>
      <c r="D15" s="89" t="s">
        <v>46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</row>
    <row r="16" spans="1:14" x14ac:dyDescent="0.45">
      <c r="A16" s="87" t="s">
        <v>48</v>
      </c>
      <c r="B16" s="83"/>
      <c r="C16" s="83"/>
      <c r="D16" s="90"/>
      <c r="E16" s="83"/>
      <c r="F16" s="83"/>
      <c r="G16" s="83"/>
      <c r="H16" s="83"/>
      <c r="I16" s="83"/>
      <c r="J16" s="83"/>
      <c r="K16" s="83"/>
      <c r="L16" s="83"/>
      <c r="M16" s="83"/>
      <c r="N16" s="83"/>
    </row>
    <row r="17" spans="1:14" x14ac:dyDescent="0.45">
      <c r="A17" s="87" t="s">
        <v>65</v>
      </c>
      <c r="B17" s="83">
        <v>8</v>
      </c>
      <c r="C17" s="83">
        <v>100</v>
      </c>
      <c r="D17" s="90">
        <v>8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</row>
    <row r="18" spans="1:14" ht="14.65" thickBot="1" x14ac:dyDescent="0.5">
      <c r="A18" s="88" t="s">
        <v>50</v>
      </c>
      <c r="B18" s="85"/>
      <c r="C18" s="85"/>
      <c r="D18" s="91">
        <v>8</v>
      </c>
      <c r="E18" s="83"/>
      <c r="F18" s="83"/>
      <c r="G18" s="83"/>
      <c r="H18" s="83"/>
      <c r="I18" s="83"/>
      <c r="J18" s="83"/>
      <c r="K18" s="83"/>
      <c r="L18" s="83"/>
      <c r="M18" s="83"/>
      <c r="N18" s="83"/>
    </row>
  </sheetData>
  <mergeCells count="26">
    <mergeCell ref="C11:D11"/>
    <mergeCell ref="E11:F11"/>
    <mergeCell ref="G11:H11"/>
    <mergeCell ref="I11:J11"/>
    <mergeCell ref="C12:D12"/>
    <mergeCell ref="E12:J12"/>
    <mergeCell ref="E8:F8"/>
    <mergeCell ref="G9:H9"/>
    <mergeCell ref="C10:D10"/>
    <mergeCell ref="E10:F10"/>
    <mergeCell ref="G10:H10"/>
    <mergeCell ref="I10:J10"/>
    <mergeCell ref="G4:H4"/>
    <mergeCell ref="I4:J4"/>
    <mergeCell ref="E5:F5"/>
    <mergeCell ref="I5:J5"/>
    <mergeCell ref="E6:F6"/>
    <mergeCell ref="G7:H7"/>
    <mergeCell ref="I7:J7"/>
    <mergeCell ref="D1:E1"/>
    <mergeCell ref="F1:M1"/>
    <mergeCell ref="D2:E2"/>
    <mergeCell ref="F2:M2"/>
    <mergeCell ref="E3:F3"/>
    <mergeCell ref="G3:H3"/>
    <mergeCell ref="I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AFF8-6B61-4082-8172-175AE6A548ED}">
  <sheetPr>
    <pageSetUpPr fitToPage="1"/>
  </sheetPr>
  <dimension ref="A1:N36"/>
  <sheetViews>
    <sheetView zoomScale="105" workbookViewId="0">
      <selection activeCell="A13" sqref="A13:N15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9" t="s">
        <v>22</v>
      </c>
      <c r="B1" s="9" t="s">
        <v>28</v>
      </c>
      <c r="C1" s="9" t="s">
        <v>23</v>
      </c>
      <c r="D1" s="13" t="s">
        <v>24</v>
      </c>
      <c r="E1" s="14"/>
      <c r="F1" s="13" t="s">
        <v>25</v>
      </c>
      <c r="G1" s="15"/>
      <c r="H1" s="15"/>
      <c r="I1" s="15"/>
      <c r="J1" s="15"/>
      <c r="K1" s="15"/>
      <c r="L1" s="15"/>
      <c r="M1" s="14"/>
      <c r="N1" s="10" t="s">
        <v>26</v>
      </c>
    </row>
    <row r="2" spans="1:14" ht="31.5" customHeight="1" thickBot="1" x14ac:dyDescent="0.5">
      <c r="A2" s="12" t="s">
        <v>62</v>
      </c>
      <c r="B2" s="12" t="s">
        <v>30</v>
      </c>
      <c r="C2" s="12" t="s">
        <v>63</v>
      </c>
      <c r="D2" s="16" t="s">
        <v>61</v>
      </c>
      <c r="E2" s="17"/>
      <c r="F2" s="16" t="s">
        <v>64</v>
      </c>
      <c r="G2" s="18"/>
      <c r="H2" s="18"/>
      <c r="I2" s="18"/>
      <c r="J2" s="18"/>
      <c r="K2" s="18"/>
      <c r="L2" s="18"/>
      <c r="M2" s="17"/>
      <c r="N2" s="12" t="s">
        <v>56</v>
      </c>
    </row>
    <row r="3" spans="1:14" ht="54.75" customHeight="1" thickBot="1" x14ac:dyDescent="0.5">
      <c r="A3" s="6" t="s">
        <v>17</v>
      </c>
      <c r="B3" s="4" t="s">
        <v>18</v>
      </c>
      <c r="C3" s="4" t="s">
        <v>16</v>
      </c>
      <c r="D3" s="4" t="s">
        <v>15</v>
      </c>
      <c r="E3" s="20" t="s">
        <v>19</v>
      </c>
      <c r="F3" s="20"/>
      <c r="G3" s="20" t="s">
        <v>20</v>
      </c>
      <c r="H3" s="20"/>
      <c r="I3" s="20" t="s">
        <v>21</v>
      </c>
      <c r="J3" s="20"/>
      <c r="K3" s="4" t="s">
        <v>15</v>
      </c>
      <c r="L3" s="7" t="s">
        <v>16</v>
      </c>
      <c r="M3" s="4" t="s">
        <v>18</v>
      </c>
      <c r="N3" s="8" t="s">
        <v>17</v>
      </c>
    </row>
    <row r="4" spans="1:14" ht="15.75" x14ac:dyDescent="0.45">
      <c r="A4" s="30"/>
      <c r="B4" s="26"/>
      <c r="C4" s="27"/>
      <c r="D4" s="33" t="s">
        <v>0</v>
      </c>
      <c r="E4" s="56">
        <v>0.91</v>
      </c>
      <c r="F4" s="57">
        <v>0.91</v>
      </c>
      <c r="G4" s="52"/>
      <c r="H4" s="52"/>
      <c r="I4" s="52"/>
      <c r="J4" s="53"/>
      <c r="K4" s="37" t="s">
        <v>1</v>
      </c>
      <c r="L4" s="36"/>
      <c r="M4" s="36"/>
      <c r="N4" s="40"/>
    </row>
    <row r="5" spans="1:14" ht="15.75" x14ac:dyDescent="0.45">
      <c r="A5" s="31" t="s">
        <v>67</v>
      </c>
      <c r="B5" s="21" t="s">
        <v>68</v>
      </c>
      <c r="C5" s="22" t="s">
        <v>69</v>
      </c>
      <c r="D5" s="34" t="s">
        <v>2</v>
      </c>
      <c r="E5" s="49"/>
      <c r="F5" s="23"/>
      <c r="G5" s="58">
        <v>0.91</v>
      </c>
      <c r="H5" s="59">
        <v>0.91</v>
      </c>
      <c r="I5" s="24"/>
      <c r="J5" s="24"/>
      <c r="K5" s="38" t="s">
        <v>3</v>
      </c>
      <c r="L5" s="21" t="s">
        <v>69</v>
      </c>
      <c r="M5" s="21" t="s">
        <v>66</v>
      </c>
      <c r="N5" s="41" t="s">
        <v>70</v>
      </c>
    </row>
    <row r="6" spans="1:14" ht="16.149999999999999" thickBot="1" x14ac:dyDescent="0.5">
      <c r="A6" s="32"/>
      <c r="B6" s="28"/>
      <c r="C6" s="29"/>
      <c r="D6" s="35" t="s">
        <v>4</v>
      </c>
      <c r="E6" s="50"/>
      <c r="F6" s="24"/>
      <c r="G6" s="25"/>
      <c r="H6" s="25"/>
      <c r="I6" s="60">
        <v>0.91</v>
      </c>
      <c r="J6" s="61">
        <v>0.91</v>
      </c>
      <c r="K6" s="39" t="s">
        <v>5</v>
      </c>
      <c r="L6" s="28"/>
      <c r="M6" s="28"/>
      <c r="N6" s="42"/>
    </row>
    <row r="7" spans="1:14" ht="16.149999999999999" thickBot="1" x14ac:dyDescent="0.5">
      <c r="A7" s="30"/>
      <c r="B7" s="26"/>
      <c r="C7" s="27"/>
      <c r="D7" s="33" t="s">
        <v>6</v>
      </c>
      <c r="E7" s="62">
        <v>0.91</v>
      </c>
      <c r="F7" s="63">
        <v>3.33</v>
      </c>
      <c r="G7" s="24"/>
      <c r="H7" s="24"/>
      <c r="I7" s="24"/>
      <c r="J7" s="24"/>
      <c r="K7" s="47" t="s">
        <v>7</v>
      </c>
      <c r="L7" s="43" t="s">
        <v>71</v>
      </c>
      <c r="M7" s="43" t="s">
        <v>72</v>
      </c>
      <c r="N7" s="48" t="s">
        <v>73</v>
      </c>
    </row>
    <row r="8" spans="1:14" ht="16.149999999999999" thickBot="1" x14ac:dyDescent="0.5">
      <c r="A8" s="31" t="s">
        <v>74</v>
      </c>
      <c r="B8" s="21" t="s">
        <v>66</v>
      </c>
      <c r="C8" s="22" t="s">
        <v>69</v>
      </c>
      <c r="D8" s="34" t="s">
        <v>8</v>
      </c>
      <c r="E8" s="50"/>
      <c r="F8" s="24"/>
      <c r="G8" s="60">
        <v>0.91</v>
      </c>
      <c r="H8" s="63">
        <v>3.33</v>
      </c>
      <c r="I8" s="25"/>
      <c r="J8" s="25"/>
      <c r="K8" s="47" t="s">
        <v>9</v>
      </c>
      <c r="L8" s="43" t="s">
        <v>71</v>
      </c>
      <c r="M8" s="43" t="s">
        <v>75</v>
      </c>
      <c r="N8" s="48" t="s">
        <v>76</v>
      </c>
    </row>
    <row r="9" spans="1:14" ht="16.149999999999999" thickBot="1" x14ac:dyDescent="0.5">
      <c r="A9" s="32"/>
      <c r="B9" s="28"/>
      <c r="C9" s="29"/>
      <c r="D9" s="35" t="s">
        <v>10</v>
      </c>
      <c r="E9" s="51"/>
      <c r="F9" s="25"/>
      <c r="G9" s="24"/>
      <c r="H9" s="24"/>
      <c r="I9" s="58">
        <v>0.91</v>
      </c>
      <c r="J9" s="95">
        <v>1</v>
      </c>
      <c r="K9" s="47" t="s">
        <v>11</v>
      </c>
      <c r="L9" s="43" t="s">
        <v>77</v>
      </c>
      <c r="M9" s="43" t="s">
        <v>78</v>
      </c>
      <c r="N9" s="48" t="s">
        <v>79</v>
      </c>
    </row>
    <row r="10" spans="1:14" ht="15.85" customHeight="1" thickBot="1" x14ac:dyDescent="0.5">
      <c r="A10" s="45" t="s">
        <v>80</v>
      </c>
      <c r="B10" s="43" t="s">
        <v>75</v>
      </c>
      <c r="C10" s="44" t="s">
        <v>77</v>
      </c>
      <c r="D10" s="46" t="s">
        <v>81</v>
      </c>
      <c r="E10" s="62">
        <v>1</v>
      </c>
      <c r="F10" s="63">
        <v>1</v>
      </c>
      <c r="G10" s="24"/>
      <c r="H10" s="24"/>
      <c r="I10" s="24"/>
      <c r="J10" s="24"/>
      <c r="K10" s="47" t="s">
        <v>82</v>
      </c>
      <c r="L10" s="43" t="s">
        <v>77</v>
      </c>
      <c r="M10" s="43" t="s">
        <v>83</v>
      </c>
      <c r="N10" s="48" t="s">
        <v>84</v>
      </c>
    </row>
    <row r="11" spans="1:14" ht="15.85" customHeight="1" thickBot="1" x14ac:dyDescent="0.5">
      <c r="A11" s="45" t="s">
        <v>85</v>
      </c>
      <c r="B11" s="43" t="s">
        <v>86</v>
      </c>
      <c r="C11" s="44" t="s">
        <v>77</v>
      </c>
      <c r="D11" s="46" t="s">
        <v>87</v>
      </c>
      <c r="E11" s="50"/>
      <c r="F11" s="24"/>
      <c r="G11" s="60">
        <v>0.33</v>
      </c>
      <c r="H11" s="63">
        <v>0.25</v>
      </c>
      <c r="I11" s="25"/>
      <c r="J11" s="25"/>
      <c r="K11" s="47" t="s">
        <v>88</v>
      </c>
      <c r="L11" s="43" t="s">
        <v>77</v>
      </c>
      <c r="M11" s="43" t="s">
        <v>86</v>
      </c>
      <c r="N11" s="48" t="s">
        <v>89</v>
      </c>
    </row>
    <row r="12" spans="1:14" ht="16.25" customHeight="1" thickBot="1" x14ac:dyDescent="0.5">
      <c r="A12" s="30"/>
      <c r="B12" s="26"/>
      <c r="C12" s="27"/>
      <c r="D12" s="33" t="s">
        <v>90</v>
      </c>
      <c r="E12" s="51"/>
      <c r="F12" s="25"/>
      <c r="G12" s="24"/>
      <c r="H12" s="24"/>
      <c r="I12" s="58"/>
      <c r="J12" s="95"/>
      <c r="K12" s="47" t="s">
        <v>91</v>
      </c>
      <c r="L12" s="43" t="s">
        <v>41</v>
      </c>
      <c r="M12" s="43"/>
      <c r="N12" s="48" t="s">
        <v>40</v>
      </c>
    </row>
    <row r="13" spans="1:14" ht="15.95" customHeight="1" thickBot="1" x14ac:dyDescent="0.5">
      <c r="A13" s="31" t="s">
        <v>92</v>
      </c>
      <c r="B13" s="21"/>
      <c r="C13" s="22" t="s">
        <v>93</v>
      </c>
      <c r="D13" s="34" t="s">
        <v>94</v>
      </c>
      <c r="E13" s="62"/>
      <c r="F13" s="63"/>
      <c r="G13" s="24"/>
      <c r="H13" s="24"/>
      <c r="I13" s="24"/>
      <c r="J13" s="24"/>
      <c r="K13" s="47" t="s">
        <v>95</v>
      </c>
      <c r="L13" s="43" t="s">
        <v>41</v>
      </c>
      <c r="M13" s="43"/>
      <c r="N13" s="48" t="s">
        <v>40</v>
      </c>
    </row>
    <row r="14" spans="1:14" ht="15.95" customHeight="1" thickBot="1" x14ac:dyDescent="0.5">
      <c r="A14" s="32"/>
      <c r="B14" s="28"/>
      <c r="C14" s="29"/>
      <c r="D14" s="35" t="s">
        <v>96</v>
      </c>
      <c r="E14" s="50"/>
      <c r="F14" s="24"/>
      <c r="G14" s="60"/>
      <c r="H14" s="63"/>
      <c r="I14" s="25"/>
      <c r="J14" s="25"/>
      <c r="K14" s="47" t="s">
        <v>97</v>
      </c>
      <c r="L14" s="43"/>
      <c r="M14" s="43"/>
      <c r="N14" s="48" t="s">
        <v>42</v>
      </c>
    </row>
    <row r="15" spans="1:14" ht="16.350000000000001" customHeight="1" thickBot="1" x14ac:dyDescent="0.5">
      <c r="A15" s="45" t="s">
        <v>42</v>
      </c>
      <c r="B15" s="43"/>
      <c r="C15" s="44"/>
      <c r="D15" s="46" t="s">
        <v>98</v>
      </c>
      <c r="E15" s="54"/>
      <c r="F15" s="11"/>
      <c r="G15" s="55"/>
      <c r="H15" s="55"/>
      <c r="I15" s="64"/>
      <c r="J15" s="65"/>
      <c r="K15" s="47" t="s">
        <v>99</v>
      </c>
      <c r="L15" s="43"/>
      <c r="M15" s="43"/>
      <c r="N15" s="48" t="s">
        <v>42</v>
      </c>
    </row>
    <row r="16" spans="1:14" x14ac:dyDescent="0.45">
      <c r="A16" s="1"/>
      <c r="C16" s="66" t="s">
        <v>13</v>
      </c>
      <c r="D16" s="67"/>
      <c r="E16" s="68">
        <f>SUM(E4:F15)</f>
        <v>8.06</v>
      </c>
      <c r="F16" s="69"/>
      <c r="G16" s="69">
        <f>SUM(G4:H15)</f>
        <v>6.6400000000000006</v>
      </c>
      <c r="H16" s="69"/>
      <c r="I16" s="70">
        <f>SUM(I4:J15)</f>
        <v>3.73</v>
      </c>
      <c r="J16" s="71"/>
      <c r="K16" s="72"/>
      <c r="L16" s="2"/>
      <c r="M16" s="5"/>
      <c r="N16" s="1"/>
    </row>
    <row r="17" spans="1:14" ht="14.65" thickBot="1" x14ac:dyDescent="0.5">
      <c r="A17" s="1"/>
      <c r="C17" s="73" t="s">
        <v>12</v>
      </c>
      <c r="D17" s="74"/>
      <c r="E17" s="76">
        <f>IFERROR(E16*1000/230.9,"")</f>
        <v>34.906886097877873</v>
      </c>
      <c r="F17" s="77"/>
      <c r="G17" s="77">
        <f>IFERROR(G16*1000/230.9,"")</f>
        <v>28.757037678648768</v>
      </c>
      <c r="H17" s="77"/>
      <c r="I17" s="78">
        <f>IFERROR(I16*1000/230.9,"")</f>
        <v>16.154179298397576</v>
      </c>
      <c r="J17" s="79"/>
      <c r="K17" s="75"/>
      <c r="L17" s="3"/>
      <c r="M17" s="5"/>
      <c r="N17" s="1"/>
    </row>
    <row r="18" spans="1:14" ht="14.65" thickBot="1" x14ac:dyDescent="0.5">
      <c r="A18" s="1"/>
      <c r="C18" s="19" t="s">
        <v>14</v>
      </c>
      <c r="D18" s="82"/>
      <c r="E18" s="80">
        <f>E16+G16+I16</f>
        <v>18.43</v>
      </c>
      <c r="F18" s="80"/>
      <c r="G18" s="80"/>
      <c r="H18" s="80"/>
      <c r="I18" s="80"/>
      <c r="J18" s="81"/>
      <c r="K18" s="5"/>
      <c r="L18" s="2"/>
      <c r="M18" s="5"/>
      <c r="N18" s="1"/>
    </row>
    <row r="20" spans="1:14" ht="14.65" thickBot="1" x14ac:dyDescent="0.5"/>
    <row r="21" spans="1:14" x14ac:dyDescent="0.45">
      <c r="A21" s="86" t="s">
        <v>43</v>
      </c>
      <c r="B21" s="84" t="s">
        <v>44</v>
      </c>
      <c r="C21" s="84" t="s">
        <v>45</v>
      </c>
      <c r="D21" s="89" t="s">
        <v>46</v>
      </c>
      <c r="E21" s="83"/>
      <c r="F21" s="83"/>
      <c r="G21" s="83"/>
      <c r="H21" s="83"/>
      <c r="I21" s="83"/>
      <c r="J21" s="83"/>
      <c r="K21" s="83"/>
      <c r="L21" s="83"/>
      <c r="M21" s="83"/>
      <c r="N21" s="83"/>
    </row>
    <row r="22" spans="1:14" x14ac:dyDescent="0.45">
      <c r="A22" s="87" t="s">
        <v>47</v>
      </c>
      <c r="B22" s="83"/>
      <c r="C22" s="83"/>
      <c r="D22" s="90"/>
      <c r="E22" s="83"/>
      <c r="F22" s="83"/>
      <c r="G22" s="83"/>
      <c r="H22" s="83"/>
      <c r="I22" s="83"/>
      <c r="J22" s="83"/>
      <c r="K22" s="83"/>
      <c r="L22" s="83"/>
      <c r="M22" s="83"/>
      <c r="N22" s="83"/>
    </row>
    <row r="23" spans="1:14" x14ac:dyDescent="0.45">
      <c r="A23" s="87" t="s">
        <v>80</v>
      </c>
      <c r="B23" s="83">
        <v>1</v>
      </c>
      <c r="C23" s="83">
        <v>100</v>
      </c>
      <c r="D23" s="90">
        <v>1</v>
      </c>
      <c r="E23" s="83"/>
      <c r="F23" s="83"/>
      <c r="G23" s="83"/>
      <c r="H23" s="83"/>
      <c r="I23" s="83"/>
      <c r="J23" s="83"/>
      <c r="K23" s="83"/>
      <c r="L23" s="83"/>
      <c r="M23" s="83"/>
      <c r="N23" s="83"/>
    </row>
    <row r="24" spans="1:14" x14ac:dyDescent="0.45">
      <c r="A24" s="87" t="s">
        <v>92</v>
      </c>
      <c r="B24" s="83">
        <v>0</v>
      </c>
      <c r="C24" s="83">
        <v>100</v>
      </c>
      <c r="D24" s="90">
        <v>0</v>
      </c>
      <c r="E24" s="83"/>
      <c r="F24" s="83"/>
      <c r="G24" s="83"/>
      <c r="H24" s="83"/>
      <c r="I24" s="83"/>
      <c r="J24" s="83"/>
      <c r="K24" s="83"/>
      <c r="L24" s="83"/>
      <c r="M24" s="83"/>
      <c r="N24" s="83"/>
    </row>
    <row r="25" spans="1:14" x14ac:dyDescent="0.45">
      <c r="A25" s="87" t="s">
        <v>85</v>
      </c>
      <c r="B25" s="83">
        <v>0.33</v>
      </c>
      <c r="C25" s="83">
        <v>100</v>
      </c>
      <c r="D25" s="90">
        <v>0.33</v>
      </c>
      <c r="E25" s="83"/>
      <c r="F25" s="83"/>
      <c r="G25" s="83"/>
      <c r="H25" s="83"/>
      <c r="I25" s="83"/>
      <c r="J25" s="83"/>
      <c r="K25" s="83"/>
      <c r="L25" s="83"/>
      <c r="M25" s="83"/>
      <c r="N25" s="83"/>
    </row>
    <row r="26" spans="1:14" x14ac:dyDescent="0.45">
      <c r="A26" s="87" t="s">
        <v>79</v>
      </c>
      <c r="B26" s="83">
        <v>1</v>
      </c>
      <c r="C26" s="83">
        <v>100</v>
      </c>
      <c r="D26" s="90">
        <v>1</v>
      </c>
      <c r="E26" s="83"/>
      <c r="F26" s="83"/>
      <c r="G26" s="83"/>
      <c r="H26" s="83"/>
      <c r="I26" s="83"/>
      <c r="J26" s="83"/>
      <c r="K26" s="83"/>
      <c r="L26" s="83"/>
      <c r="M26" s="83"/>
      <c r="N26" s="83"/>
    </row>
    <row r="27" spans="1:14" x14ac:dyDescent="0.45">
      <c r="A27" s="87" t="s">
        <v>73</v>
      </c>
      <c r="B27" s="83">
        <v>3.33</v>
      </c>
      <c r="C27" s="83">
        <v>100</v>
      </c>
      <c r="D27" s="90">
        <v>3.33</v>
      </c>
      <c r="E27" s="83"/>
      <c r="F27" s="83"/>
      <c r="G27" s="83"/>
      <c r="H27" s="83"/>
      <c r="I27" s="83"/>
      <c r="J27" s="83"/>
      <c r="K27" s="83"/>
      <c r="L27" s="83"/>
      <c r="M27" s="83"/>
      <c r="N27" s="83"/>
    </row>
    <row r="28" spans="1:14" x14ac:dyDescent="0.45">
      <c r="A28" s="87" t="s">
        <v>76</v>
      </c>
      <c r="B28" s="83">
        <v>3.33</v>
      </c>
      <c r="C28" s="83">
        <v>100</v>
      </c>
      <c r="D28" s="90">
        <v>3.33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</row>
    <row r="29" spans="1:14" x14ac:dyDescent="0.45">
      <c r="A29" s="87" t="s">
        <v>48</v>
      </c>
      <c r="B29" s="83"/>
      <c r="C29" s="83"/>
      <c r="D29" s="90"/>
      <c r="E29" s="83"/>
      <c r="F29" s="83"/>
      <c r="G29" s="83"/>
      <c r="H29" s="83"/>
      <c r="I29" s="83"/>
      <c r="J29" s="83"/>
      <c r="K29" s="83"/>
      <c r="L29" s="83"/>
      <c r="M29" s="83"/>
      <c r="N29" s="83"/>
    </row>
    <row r="30" spans="1:14" x14ac:dyDescent="0.45">
      <c r="A30" s="87" t="s">
        <v>89</v>
      </c>
      <c r="B30" s="83">
        <v>0.25</v>
      </c>
      <c r="C30" s="83">
        <v>100</v>
      </c>
      <c r="D30" s="90">
        <v>0.25</v>
      </c>
      <c r="E30" s="83"/>
      <c r="F30" s="83"/>
      <c r="G30" s="83"/>
      <c r="H30" s="83"/>
      <c r="I30" s="83"/>
      <c r="J30" s="83"/>
      <c r="K30" s="83"/>
      <c r="L30" s="83"/>
      <c r="M30" s="83"/>
      <c r="N30" s="83"/>
    </row>
    <row r="31" spans="1:14" x14ac:dyDescent="0.45">
      <c r="A31" s="87" t="s">
        <v>67</v>
      </c>
      <c r="B31" s="83">
        <v>2.72</v>
      </c>
      <c r="C31" s="83">
        <v>100</v>
      </c>
      <c r="D31" s="90">
        <v>2.72</v>
      </c>
      <c r="E31" s="83"/>
      <c r="F31" s="83"/>
      <c r="G31" s="83"/>
      <c r="H31" s="83"/>
      <c r="I31" s="83"/>
      <c r="J31" s="83"/>
      <c r="K31" s="83"/>
      <c r="L31" s="83"/>
      <c r="M31" s="83"/>
      <c r="N31" s="83"/>
    </row>
    <row r="32" spans="1:14" x14ac:dyDescent="0.45">
      <c r="A32" s="87" t="s">
        <v>70</v>
      </c>
      <c r="B32" s="83">
        <v>2.72</v>
      </c>
      <c r="C32" s="83">
        <v>100</v>
      </c>
      <c r="D32" s="90">
        <v>2.72</v>
      </c>
      <c r="E32" s="83"/>
      <c r="F32" s="83"/>
      <c r="G32" s="83"/>
      <c r="H32" s="83"/>
      <c r="I32" s="83"/>
      <c r="J32" s="83"/>
      <c r="K32" s="83"/>
      <c r="L32" s="83"/>
      <c r="M32" s="83"/>
      <c r="N32" s="83"/>
    </row>
    <row r="33" spans="1:14" x14ac:dyDescent="0.45">
      <c r="A33" s="87" t="s">
        <v>74</v>
      </c>
      <c r="B33" s="83">
        <v>2.72</v>
      </c>
      <c r="C33" s="83">
        <v>0</v>
      </c>
      <c r="D33" s="90">
        <v>0</v>
      </c>
      <c r="E33" s="83"/>
      <c r="F33" s="83"/>
      <c r="G33" s="83"/>
      <c r="H33" s="83"/>
      <c r="I33" s="83"/>
      <c r="J33" s="83"/>
      <c r="K33" s="83"/>
      <c r="L33" s="83"/>
      <c r="M33" s="83"/>
      <c r="N33" s="83"/>
    </row>
    <row r="34" spans="1:14" x14ac:dyDescent="0.45">
      <c r="A34" s="87" t="s">
        <v>57</v>
      </c>
      <c r="B34" s="83"/>
      <c r="C34" s="83"/>
      <c r="D34" s="90"/>
      <c r="E34" s="83"/>
      <c r="F34" s="83"/>
      <c r="G34" s="83"/>
      <c r="H34" s="83"/>
      <c r="I34" s="83"/>
      <c r="J34" s="83"/>
      <c r="K34" s="83"/>
      <c r="L34" s="83"/>
      <c r="M34" s="83"/>
      <c r="N34" s="83"/>
    </row>
    <row r="35" spans="1:14" x14ac:dyDescent="0.45">
      <c r="A35" s="87" t="s">
        <v>84</v>
      </c>
      <c r="B35" s="83">
        <v>1</v>
      </c>
      <c r="C35" s="83">
        <v>100</v>
      </c>
      <c r="D35" s="90">
        <v>1</v>
      </c>
      <c r="E35" s="83"/>
      <c r="F35" s="83"/>
      <c r="G35" s="83"/>
      <c r="H35" s="83"/>
      <c r="I35" s="83"/>
      <c r="J35" s="83"/>
      <c r="K35" s="83"/>
      <c r="L35" s="83"/>
      <c r="M35" s="83"/>
      <c r="N35" s="83"/>
    </row>
    <row r="36" spans="1:14" ht="14.65" thickBot="1" x14ac:dyDescent="0.5">
      <c r="A36" s="88" t="s">
        <v>50</v>
      </c>
      <c r="B36" s="85"/>
      <c r="C36" s="85"/>
      <c r="D36" s="91">
        <v>15.68</v>
      </c>
      <c r="E36" s="83"/>
      <c r="F36" s="83"/>
      <c r="G36" s="83"/>
      <c r="H36" s="83"/>
      <c r="I36" s="83"/>
      <c r="J36" s="83"/>
      <c r="K36" s="83"/>
      <c r="L36" s="83"/>
      <c r="M36" s="83"/>
      <c r="N36" s="83"/>
    </row>
  </sheetData>
  <mergeCells count="34">
    <mergeCell ref="E18:J18"/>
    <mergeCell ref="I17:J17"/>
    <mergeCell ref="I3:J3"/>
    <mergeCell ref="I4:J4"/>
    <mergeCell ref="I5:J5"/>
    <mergeCell ref="I7:J7"/>
    <mergeCell ref="I10:J10"/>
    <mergeCell ref="I13:J13"/>
    <mergeCell ref="C17:D17"/>
    <mergeCell ref="C18:D18"/>
    <mergeCell ref="E3:F3"/>
    <mergeCell ref="G3:H3"/>
    <mergeCell ref="G4:H4"/>
    <mergeCell ref="E5:F5"/>
    <mergeCell ref="E6:F6"/>
    <mergeCell ref="G7:H7"/>
    <mergeCell ref="E8:F8"/>
    <mergeCell ref="G9:H9"/>
    <mergeCell ref="E16:F16"/>
    <mergeCell ref="G16:H16"/>
    <mergeCell ref="E17:F17"/>
    <mergeCell ref="G17:H17"/>
    <mergeCell ref="G10:H10"/>
    <mergeCell ref="D1:E1"/>
    <mergeCell ref="F1:M1"/>
    <mergeCell ref="D2:E2"/>
    <mergeCell ref="F2:M2"/>
    <mergeCell ref="C16:D16"/>
    <mergeCell ref="I16:J16"/>
    <mergeCell ref="E11:F11"/>
    <mergeCell ref="G12:H12"/>
    <mergeCell ref="G13:H13"/>
    <mergeCell ref="E14:F14"/>
    <mergeCell ref="G15:H15"/>
  </mergeCells>
  <pageMargins left="0.7" right="0.7" top="0.75" bottom="0.75" header="0.3" footer="0.3"/>
  <pageSetup paperSize="9" scale="7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77F670-3432-46A4-8C52-E3207715187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MDB-1</vt:lpstr>
      <vt:lpstr>MDP-EX</vt:lpstr>
      <vt:lpstr>DP-X</vt:lpstr>
      <vt:lpstr>LPEX2</vt:lpstr>
      <vt:lpstr>DP-F</vt:lpstr>
      <vt:lpstr>Panel</vt:lpstr>
      <vt:lpstr>'DP-F'!PanelVoltage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Veton Shaipi</dc:creator>
  <cp:lastModifiedBy>Veton Shaipi</cp:lastModifiedBy>
  <cp:lastPrinted>2026-05-10T07:16:48Z</cp:lastPrinted>
  <dcterms:created xsi:type="dcterms:W3CDTF">2026-05-04T08:46:19Z</dcterms:created>
  <dcterms:modified xsi:type="dcterms:W3CDTF">2026-05-19T10:41:50Z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{9977F670-3432-46A4-8C52-E3207715187D}</vt:lpwstr>
  </property>
</Properties>
</file>